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DATA ANALYTICS\Data Analysts Projects\E-Commerce Customer Analysis Dashboard in Excel\"/>
    </mc:Choice>
  </mc:AlternateContent>
  <bookViews>
    <workbookView xWindow="0" yWindow="0" windowWidth="20490" windowHeight="7455" activeTab="2"/>
  </bookViews>
  <sheets>
    <sheet name="Sheet2" sheetId="3" r:id="rId1"/>
    <sheet name="Orders_Data" sheetId="1" r:id="rId2"/>
    <sheet name="E-commerce Dashboard" sheetId="7" r:id="rId3"/>
    <sheet name="Key Insights &amp; Recommendations" sheetId="8" r:id="rId4"/>
  </sheets>
  <definedNames>
    <definedName name="Slicer_Category">#N/A</definedName>
    <definedName name="Slicer_City">#N/A</definedName>
    <definedName name="Slicer_Gender">#N/A</definedName>
    <definedName name="Slicer_Month">#N/A</definedName>
    <definedName name="Slicer_State">#N/A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1" i="1" l="1"/>
  <c r="P2" i="1" l="1"/>
  <c r="O108" i="3" l="1"/>
  <c r="O107" i="3"/>
  <c r="O106" i="3"/>
  <c r="O105" i="3"/>
  <c r="O104" i="3"/>
  <c r="O103" i="3"/>
  <c r="O102" i="3"/>
  <c r="O101" i="3"/>
  <c r="O100" i="3"/>
  <c r="O99" i="3"/>
  <c r="O98" i="3"/>
  <c r="O97" i="3"/>
  <c r="O96" i="3"/>
  <c r="O95" i="3"/>
  <c r="O94" i="3"/>
  <c r="O93" i="3"/>
  <c r="O92" i="3"/>
  <c r="O91" i="3"/>
  <c r="O90" i="3"/>
  <c r="O89" i="3"/>
  <c r="O88" i="3"/>
  <c r="O87" i="3"/>
  <c r="O86" i="3"/>
  <c r="O85" i="3"/>
  <c r="O84" i="3"/>
  <c r="O83" i="3"/>
  <c r="O82" i="3"/>
  <c r="O81" i="3"/>
  <c r="O80" i="3"/>
  <c r="O79" i="3"/>
  <c r="O78" i="3"/>
  <c r="O77" i="3"/>
  <c r="O76" i="3"/>
  <c r="O75" i="3"/>
  <c r="O74" i="3"/>
  <c r="O73" i="3"/>
  <c r="O72" i="3"/>
  <c r="O71" i="3"/>
  <c r="O70" i="3"/>
  <c r="O69" i="3"/>
  <c r="O68" i="3"/>
  <c r="O67" i="3"/>
  <c r="O66" i="3"/>
  <c r="O65" i="3"/>
  <c r="O64" i="3"/>
  <c r="O63" i="3"/>
  <c r="O62" i="3"/>
  <c r="O61" i="3"/>
  <c r="O60" i="3"/>
  <c r="O59" i="3"/>
  <c r="O58" i="3"/>
  <c r="O57" i="3"/>
  <c r="O56" i="3"/>
  <c r="O55" i="3"/>
  <c r="O54" i="3"/>
  <c r="O53" i="3"/>
  <c r="O52" i="3"/>
  <c r="O51" i="3"/>
  <c r="O50" i="3"/>
  <c r="O49" i="3"/>
  <c r="O48" i="3"/>
  <c r="O47" i="3"/>
  <c r="O46" i="3"/>
  <c r="O45" i="3"/>
  <c r="O44" i="3"/>
  <c r="O43" i="3"/>
  <c r="O42" i="3"/>
  <c r="O41" i="3"/>
  <c r="O40" i="3"/>
  <c r="O39" i="3"/>
  <c r="O38" i="3"/>
  <c r="O37" i="3"/>
  <c r="O36" i="3"/>
  <c r="O35" i="3"/>
  <c r="O34" i="3"/>
  <c r="O33" i="3"/>
  <c r="O32" i="3"/>
  <c r="O31" i="3"/>
  <c r="O30" i="3"/>
  <c r="O29" i="3"/>
  <c r="O28" i="3"/>
  <c r="O27" i="3"/>
  <c r="O26" i="3"/>
  <c r="O25" i="3"/>
  <c r="O24" i="3"/>
  <c r="O23" i="3"/>
  <c r="O22" i="3"/>
  <c r="O21" i="3"/>
  <c r="O20" i="3"/>
  <c r="O19" i="3"/>
  <c r="O18" i="3"/>
  <c r="O17" i="3"/>
  <c r="O16" i="3"/>
  <c r="O15" i="3"/>
  <c r="O14" i="3"/>
  <c r="O13" i="3"/>
  <c r="O12" i="3"/>
  <c r="O11" i="3"/>
  <c r="N501" i="1"/>
  <c r="O501" i="1"/>
  <c r="Q14" i="3" l="1"/>
  <c r="Q17" i="3" s="1"/>
  <c r="Q11" i="3"/>
  <c r="P5" i="1"/>
  <c r="P14"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3"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2" i="1"/>
</calcChain>
</file>

<file path=xl/sharedStrings.xml><?xml version="1.0" encoding="utf-8"?>
<sst xmlns="http://schemas.openxmlformats.org/spreadsheetml/2006/main" count="4244" uniqueCount="705">
  <si>
    <t>Order ID</t>
  </si>
  <si>
    <t>Order Date</t>
  </si>
  <si>
    <t>Customer ID</t>
  </si>
  <si>
    <t>Customer Name</t>
  </si>
  <si>
    <t>Gender</t>
  </si>
  <si>
    <t>Age</t>
  </si>
  <si>
    <t>City</t>
  </si>
  <si>
    <t>State</t>
  </si>
  <si>
    <t>Category</t>
  </si>
  <si>
    <t>Product</t>
  </si>
  <si>
    <t>Quantity</t>
  </si>
  <si>
    <t>Unit Price</t>
  </si>
  <si>
    <t>Sales</t>
  </si>
  <si>
    <t>ORD0001</t>
  </si>
  <si>
    <t>C035</t>
  </si>
  <si>
    <t>Deepak Yadav</t>
  </si>
  <si>
    <t>Male</t>
  </si>
  <si>
    <t>Pune</t>
  </si>
  <si>
    <t>Maharashtra</t>
  </si>
  <si>
    <t>Electronics</t>
  </si>
  <si>
    <t>Smartwatch</t>
  </si>
  <si>
    <t>ORD0002</t>
  </si>
  <si>
    <t>C085</t>
  </si>
  <si>
    <t>Riya Kapoor</t>
  </si>
  <si>
    <t>Female</t>
  </si>
  <si>
    <t>Mysuru</t>
  </si>
  <si>
    <t>Karnataka</t>
  </si>
  <si>
    <t>ORD0003</t>
  </si>
  <si>
    <t>C070</t>
  </si>
  <si>
    <t>Aisha Khan</t>
  </si>
  <si>
    <t>Home Decor</t>
  </si>
  <si>
    <t>Lamp</t>
  </si>
  <si>
    <t>ORD0004</t>
  </si>
  <si>
    <t>C026</t>
  </si>
  <si>
    <t>Mumbai</t>
  </si>
  <si>
    <t>Cushion</t>
  </si>
  <si>
    <t>ORD0005</t>
  </si>
  <si>
    <t>C014</t>
  </si>
  <si>
    <t>Bengaluru</t>
  </si>
  <si>
    <t>Beauty</t>
  </si>
  <si>
    <t>Face Wash</t>
  </si>
  <si>
    <t>ORD0006</t>
  </si>
  <si>
    <t>C088</t>
  </si>
  <si>
    <t>Jaipur</t>
  </si>
  <si>
    <t>Rajasthan</t>
  </si>
  <si>
    <t>Headphones</t>
  </si>
  <si>
    <t>ORD0007</t>
  </si>
  <si>
    <t>C059</t>
  </si>
  <si>
    <t>Surat</t>
  </si>
  <si>
    <t>Gujarat</t>
  </si>
  <si>
    <t>ORD0008</t>
  </si>
  <si>
    <t>C044</t>
  </si>
  <si>
    <t>Pooja Desai</t>
  </si>
  <si>
    <t>Lipstick</t>
  </si>
  <si>
    <t>ORD0009</t>
  </si>
  <si>
    <t>C008</t>
  </si>
  <si>
    <t>Amit Sharma</t>
  </si>
  <si>
    <t>ORD0010</t>
  </si>
  <si>
    <t>C019</t>
  </si>
  <si>
    <t>Sneha Joshi</t>
  </si>
  <si>
    <t>Perfume</t>
  </si>
  <si>
    <t>ORD0011</t>
  </si>
  <si>
    <t>Arjun Nair</t>
  </si>
  <si>
    <t>Hyderabad</t>
  </si>
  <si>
    <t>Telangana</t>
  </si>
  <si>
    <t>Books</t>
  </si>
  <si>
    <t>Novel</t>
  </si>
  <si>
    <t>ORD0012</t>
  </si>
  <si>
    <t>C100</t>
  </si>
  <si>
    <t>Neha Singh</t>
  </si>
  <si>
    <t>Nagpur</t>
  </si>
  <si>
    <t>Vase</t>
  </si>
  <si>
    <t>ORD0013</t>
  </si>
  <si>
    <t>C049</t>
  </si>
  <si>
    <t>Rahul Verma</t>
  </si>
  <si>
    <t>Ahmedabad</t>
  </si>
  <si>
    <t>Keyboard</t>
  </si>
  <si>
    <t>ORD0014</t>
  </si>
  <si>
    <t>Karan Mehta</t>
  </si>
  <si>
    <t>Fashion</t>
  </si>
  <si>
    <t>T-Shirt</t>
  </si>
  <si>
    <t>ORD0015</t>
  </si>
  <si>
    <t>C038</t>
  </si>
  <si>
    <t>Saurabh Jain</t>
  </si>
  <si>
    <t>ORD0016</t>
  </si>
  <si>
    <t>Mouse</t>
  </si>
  <si>
    <t>ORD0017</t>
  </si>
  <si>
    <t>C040</t>
  </si>
  <si>
    <t>ORD0018</t>
  </si>
  <si>
    <t>C057</t>
  </si>
  <si>
    <t>Meera Iyer</t>
  </si>
  <si>
    <t>ORD0019</t>
  </si>
  <si>
    <t>C015</t>
  </si>
  <si>
    <t>Simran Kaur</t>
  </si>
  <si>
    <t>Moisturizer</t>
  </si>
  <si>
    <t>ORD0020</t>
  </si>
  <si>
    <t>C081</t>
  </si>
  <si>
    <t>Priya Patel</t>
  </si>
  <si>
    <t>ORD0021</t>
  </si>
  <si>
    <t>ORD0022</t>
  </si>
  <si>
    <t>C025</t>
  </si>
  <si>
    <t>Vikas Kumar</t>
  </si>
  <si>
    <t>ORD0023</t>
  </si>
  <si>
    <t>C045</t>
  </si>
  <si>
    <t>ORD0024</t>
  </si>
  <si>
    <t>C092</t>
  </si>
  <si>
    <t>Kavya Rao</t>
  </si>
  <si>
    <t>ORD0025</t>
  </si>
  <si>
    <t>C021</t>
  </si>
  <si>
    <t>ORD0026</t>
  </si>
  <si>
    <t>C022</t>
  </si>
  <si>
    <t>ORD0027</t>
  </si>
  <si>
    <t>C091</t>
  </si>
  <si>
    <t>Rohan Gupta</t>
  </si>
  <si>
    <t>Jacket</t>
  </si>
  <si>
    <t>ORD0028</t>
  </si>
  <si>
    <t>ORD0029</t>
  </si>
  <si>
    <t>C099</t>
  </si>
  <si>
    <t>Akash Mishra</t>
  </si>
  <si>
    <t>ORD0030</t>
  </si>
  <si>
    <t>C017</t>
  </si>
  <si>
    <t>Study Guide</t>
  </si>
  <si>
    <t>ORD0031</t>
  </si>
  <si>
    <t>C048</t>
  </si>
  <si>
    <t>Anjali Shah</t>
  </si>
  <si>
    <t>Biography</t>
  </si>
  <si>
    <t>ORD0032</t>
  </si>
  <si>
    <t>ORD0033</t>
  </si>
  <si>
    <t>ORD0034</t>
  </si>
  <si>
    <t>ORD0035</t>
  </si>
  <si>
    <t>C031</t>
  </si>
  <si>
    <t>ORD0036</t>
  </si>
  <si>
    <t>C010</t>
  </si>
  <si>
    <t>ORD0037</t>
  </si>
  <si>
    <t>C082</t>
  </si>
  <si>
    <t>ORD0038</t>
  </si>
  <si>
    <t>C060</t>
  </si>
  <si>
    <t>Delhi</t>
  </si>
  <si>
    <t>ORD0039</t>
  </si>
  <si>
    <t>ORD0040</t>
  </si>
  <si>
    <t>ORD0041</t>
  </si>
  <si>
    <t>C079</t>
  </si>
  <si>
    <t>ORD0042</t>
  </si>
  <si>
    <t>C080</t>
  </si>
  <si>
    <t>ORD0043</t>
  </si>
  <si>
    <t>C039</t>
  </si>
  <si>
    <t>Comics</t>
  </si>
  <si>
    <t>ORD0044</t>
  </si>
  <si>
    <t>ORD0045</t>
  </si>
  <si>
    <t>ORD0046</t>
  </si>
  <si>
    <t>C061</t>
  </si>
  <si>
    <t>ORD0047</t>
  </si>
  <si>
    <t>Nitin Patil</t>
  </si>
  <si>
    <t>ORD0048</t>
  </si>
  <si>
    <t>C003</t>
  </si>
  <si>
    <t>ORD0049</t>
  </si>
  <si>
    <t>C056</t>
  </si>
  <si>
    <t>ORD0050</t>
  </si>
  <si>
    <t>C097</t>
  </si>
  <si>
    <t>ORD0051</t>
  </si>
  <si>
    <t>C052</t>
  </si>
  <si>
    <t>ORD0052</t>
  </si>
  <si>
    <t>ORD0053</t>
  </si>
  <si>
    <t>C007</t>
  </si>
  <si>
    <t>ORD0054</t>
  </si>
  <si>
    <t>ORD0055</t>
  </si>
  <si>
    <t>C027</t>
  </si>
  <si>
    <t>ORD0056</t>
  </si>
  <si>
    <t>C037</t>
  </si>
  <si>
    <t>ORD0057</t>
  </si>
  <si>
    <t>C084</t>
  </si>
  <si>
    <t>ORD0058</t>
  </si>
  <si>
    <t>C083</t>
  </si>
  <si>
    <t>ORD0059</t>
  </si>
  <si>
    <t>C075</t>
  </si>
  <si>
    <t>Wall Art</t>
  </si>
  <si>
    <t>ORD0060</t>
  </si>
  <si>
    <t>ORD0061</t>
  </si>
  <si>
    <t>C036</t>
  </si>
  <si>
    <t>ORD0062</t>
  </si>
  <si>
    <t>C050</t>
  </si>
  <si>
    <t>ORD0063</t>
  </si>
  <si>
    <t>ORD0064</t>
  </si>
  <si>
    <t>ORD0065</t>
  </si>
  <si>
    <t>C051</t>
  </si>
  <si>
    <t>ORD0066</t>
  </si>
  <si>
    <t>ORD0067</t>
  </si>
  <si>
    <t>ORD0068</t>
  </si>
  <si>
    <t>Jeans</t>
  </si>
  <si>
    <t>ORD0069</t>
  </si>
  <si>
    <t>C005</t>
  </si>
  <si>
    <t>ORD0070</t>
  </si>
  <si>
    <t>C033</t>
  </si>
  <si>
    <t>ORD0071</t>
  </si>
  <si>
    <t>ORD0072</t>
  </si>
  <si>
    <t>C020</t>
  </si>
  <si>
    <t>ORD0073</t>
  </si>
  <si>
    <t>ORD0074</t>
  </si>
  <si>
    <t>ORD0075</t>
  </si>
  <si>
    <t>C062</t>
  </si>
  <si>
    <t>ORD0076</t>
  </si>
  <si>
    <t>C069</t>
  </si>
  <si>
    <t>ORD0077</t>
  </si>
  <si>
    <t>ORD0078</t>
  </si>
  <si>
    <t>ORD0079</t>
  </si>
  <si>
    <t>C089</t>
  </si>
  <si>
    <t>ORD0080</t>
  </si>
  <si>
    <t>C012</t>
  </si>
  <si>
    <t>Shoes</t>
  </si>
  <si>
    <t>ORD0081</t>
  </si>
  <si>
    <t>ORD0082</t>
  </si>
  <si>
    <t>ORD0083</t>
  </si>
  <si>
    <t>ORD0084</t>
  </si>
  <si>
    <t>C093</t>
  </si>
  <si>
    <t>ORD0085</t>
  </si>
  <si>
    <t>C029</t>
  </si>
  <si>
    <t>ORD0086</t>
  </si>
  <si>
    <t>ORD0087</t>
  </si>
  <si>
    <t>C053</t>
  </si>
  <si>
    <t>ORD0088</t>
  </si>
  <si>
    <t>ORD0089</t>
  </si>
  <si>
    <t>ORD0090</t>
  </si>
  <si>
    <t>C076</t>
  </si>
  <si>
    <t>ORD0091</t>
  </si>
  <si>
    <t>C023</t>
  </si>
  <si>
    <t>ORD0092</t>
  </si>
  <si>
    <t>ORD0093</t>
  </si>
  <si>
    <t>ORD0094</t>
  </si>
  <si>
    <t>ORD0095</t>
  </si>
  <si>
    <t>ORD0096</t>
  </si>
  <si>
    <t>C002</t>
  </si>
  <si>
    <t>ORD0097</t>
  </si>
  <si>
    <t>C065</t>
  </si>
  <si>
    <t>ORD0098</t>
  </si>
  <si>
    <t>ORD0099</t>
  </si>
  <si>
    <t>ORD0100</t>
  </si>
  <si>
    <t>ORD0101</t>
  </si>
  <si>
    <t>ORD0102</t>
  </si>
  <si>
    <t>ORD0103</t>
  </si>
  <si>
    <t>ORD0104</t>
  </si>
  <si>
    <t>ORD0105</t>
  </si>
  <si>
    <t>C078</t>
  </si>
  <si>
    <t>ORD0106</t>
  </si>
  <si>
    <t>ORD0107</t>
  </si>
  <si>
    <t>C090</t>
  </si>
  <si>
    <t>ORD0108</t>
  </si>
  <si>
    <t>ORD0109</t>
  </si>
  <si>
    <t>C086</t>
  </si>
  <si>
    <t>ORD0110</t>
  </si>
  <si>
    <t>ORD0111</t>
  </si>
  <si>
    <t>ORD0112</t>
  </si>
  <si>
    <t>ORD0113</t>
  </si>
  <si>
    <t>ORD0114</t>
  </si>
  <si>
    <t>ORD0115</t>
  </si>
  <si>
    <t>ORD0116</t>
  </si>
  <si>
    <t>C055</t>
  </si>
  <si>
    <t>ORD0117</t>
  </si>
  <si>
    <t>C042</t>
  </si>
  <si>
    <t>ORD0118</t>
  </si>
  <si>
    <t>ORD0119</t>
  </si>
  <si>
    <t>ORD0120</t>
  </si>
  <si>
    <t>ORD0121</t>
  </si>
  <si>
    <t>ORD0122</t>
  </si>
  <si>
    <t>ORD0123</t>
  </si>
  <si>
    <t>C094</t>
  </si>
  <si>
    <t>ORD0124</t>
  </si>
  <si>
    <t>ORD0125</t>
  </si>
  <si>
    <t>C095</t>
  </si>
  <si>
    <t>ORD0126</t>
  </si>
  <si>
    <t>ORD0127</t>
  </si>
  <si>
    <t>ORD0128</t>
  </si>
  <si>
    <t>C004</t>
  </si>
  <si>
    <t>ORD0129</t>
  </si>
  <si>
    <t>C098</t>
  </si>
  <si>
    <t>ORD0130</t>
  </si>
  <si>
    <t>C071</t>
  </si>
  <si>
    <t>ORD0131</t>
  </si>
  <si>
    <t>ORD0132</t>
  </si>
  <si>
    <t>ORD0133</t>
  </si>
  <si>
    <t>ORD0134</t>
  </si>
  <si>
    <t>ORD0135</t>
  </si>
  <si>
    <t>ORD0136</t>
  </si>
  <si>
    <t>ORD0137</t>
  </si>
  <si>
    <t>C087</t>
  </si>
  <si>
    <t>ORD0138</t>
  </si>
  <si>
    <t>ORD0139</t>
  </si>
  <si>
    <t>C032</t>
  </si>
  <si>
    <t>ORD0140</t>
  </si>
  <si>
    <t>ORD0141</t>
  </si>
  <si>
    <t>ORD0142</t>
  </si>
  <si>
    <t>C068</t>
  </si>
  <si>
    <t>ORD0143</t>
  </si>
  <si>
    <t>ORD0144</t>
  </si>
  <si>
    <t>ORD0145</t>
  </si>
  <si>
    <t>C064</t>
  </si>
  <si>
    <t>ORD0146</t>
  </si>
  <si>
    <t>ORD0147</t>
  </si>
  <si>
    <t>ORD0148</t>
  </si>
  <si>
    <t>ORD0149</t>
  </si>
  <si>
    <t>ORD0150</t>
  </si>
  <si>
    <t>C077</t>
  </si>
  <si>
    <t>ORD0151</t>
  </si>
  <si>
    <t>ORD0152</t>
  </si>
  <si>
    <t>ORD0153</t>
  </si>
  <si>
    <t>ORD0154</t>
  </si>
  <si>
    <t>ORD0155</t>
  </si>
  <si>
    <t>ORD0156</t>
  </si>
  <si>
    <t>ORD0157</t>
  </si>
  <si>
    <t>C009</t>
  </si>
  <si>
    <t>ORD0158</t>
  </si>
  <si>
    <t>ORD0159</t>
  </si>
  <si>
    <t>C016</t>
  </si>
  <si>
    <t>ORD0160</t>
  </si>
  <si>
    <t>C074</t>
  </si>
  <si>
    <t>ORD0161</t>
  </si>
  <si>
    <t>ORD0162</t>
  </si>
  <si>
    <t>ORD0163</t>
  </si>
  <si>
    <t>ORD0164</t>
  </si>
  <si>
    <t>ORD0165</t>
  </si>
  <si>
    <t>C066</t>
  </si>
  <si>
    <t>ORD0166</t>
  </si>
  <si>
    <t>ORD0167</t>
  </si>
  <si>
    <t>C006</t>
  </si>
  <si>
    <t>ORD0168</t>
  </si>
  <si>
    <t>C073</t>
  </si>
  <si>
    <t>ORD0169</t>
  </si>
  <si>
    <t>ORD0170</t>
  </si>
  <si>
    <t>ORD0171</t>
  </si>
  <si>
    <t>ORD0172</t>
  </si>
  <si>
    <t>ORD0173</t>
  </si>
  <si>
    <t>ORD0174</t>
  </si>
  <si>
    <t>C018</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</si>
  <si>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</si>
  <si>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</si>
  <si>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</si>
  <si>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</si>
  <si>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</si>
  <si>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</si>
  <si>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</si>
  <si>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</si>
  <si>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</si>
  <si>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</si>
  <si>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</si>
  <si>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</si>
  <si>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</si>
  <si>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</si>
  <si>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</si>
  <si>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</si>
  <si>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</si>
  <si>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</si>
  <si>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</si>
  <si>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C034</t>
  </si>
  <si>
    <t>ORD0194</t>
  </si>
  <si>
    <t>ORD0195</t>
  </si>
  <si>
    <t>ORD0196</t>
  </si>
  <si>
    <t>ORD0197</t>
  </si>
  <si>
    <t>ORD0198</t>
  </si>
  <si>
    <t>ORD0199</t>
  </si>
  <si>
    <t>ORD0200</t>
  </si>
  <si>
    <t>ORD0201</t>
  </si>
  <si>
    <t>ORD0202</t>
  </si>
  <si>
    <t>ORD0203</t>
  </si>
  <si>
    <t>ORD0204</t>
  </si>
  <si>
    <t>ORD0205</t>
  </si>
  <si>
    <t>ORD0206</t>
  </si>
  <si>
    <t>ORD0207</t>
  </si>
  <si>
    <t>C041</t>
  </si>
  <si>
    <t>ORD0208</t>
  </si>
  <si>
    <t>C001</t>
  </si>
  <si>
    <t>ORD0209</t>
  </si>
  <si>
    <t>ORD0210</t>
  </si>
  <si>
    <t>C072</t>
  </si>
  <si>
    <t>ORD0211</t>
  </si>
  <si>
    <t>ORD0212</t>
  </si>
  <si>
    <t>ORD0213</t>
  </si>
  <si>
    <t>ORD0214</t>
  </si>
  <si>
    <t>ORD0215</t>
  </si>
  <si>
    <t>ORD0216</t>
  </si>
  <si>
    <t>ORD0217</t>
  </si>
  <si>
    <t>ORD0218</t>
  </si>
  <si>
    <t>ORD0219</t>
  </si>
  <si>
    <t>ORD0220</t>
  </si>
  <si>
    <t>ORD0221</t>
  </si>
  <si>
    <t>C028</t>
  </si>
  <si>
    <t>ORD0222</t>
  </si>
  <si>
    <t>ORD0223</t>
  </si>
  <si>
    <t>ORD0224</t>
  </si>
  <si>
    <t>ORD0225</t>
  </si>
  <si>
    <t>ORD0226</t>
  </si>
  <si>
    <t>ORD0227</t>
  </si>
  <si>
    <t>ORD0228</t>
  </si>
  <si>
    <t>ORD0229</t>
  </si>
  <si>
    <t>ORD0230</t>
  </si>
  <si>
    <t>C013</t>
  </si>
  <si>
    <t>ORD0231</t>
  </si>
  <si>
    <t>ORD0232</t>
  </si>
  <si>
    <t>ORD0233</t>
  </si>
  <si>
    <t>ORD0234</t>
  </si>
  <si>
    <t>C024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</si>
  <si>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</si>
  <si>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</si>
  <si>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</si>
  <si>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</si>
  <si>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</si>
  <si>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</si>
  <si>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</si>
  <si>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</si>
  <si>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</si>
  <si>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</si>
  <si>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</si>
  <si>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</si>
  <si>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</si>
  <si>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</si>
  <si>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</si>
  <si>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</si>
  <si>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</si>
  <si>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</si>
  <si>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</si>
  <si>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</si>
  <si>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</si>
  <si>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</si>
  <si>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</si>
  <si>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</si>
  <si>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</si>
  <si>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</si>
  <si>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C096</t>
  </si>
  <si>
    <t>ORD0261</t>
  </si>
  <si>
    <t>ORD0262</t>
  </si>
  <si>
    <t>ORD0263</t>
  </si>
  <si>
    <t>ORD0264</t>
  </si>
  <si>
    <t>ORD0265</t>
  </si>
  <si>
    <t>ORD0266</t>
  </si>
  <si>
    <t>ORD0267</t>
  </si>
  <si>
    <t>ORD0268</t>
  </si>
  <si>
    <t>ORD0269</t>
  </si>
  <si>
    <t>C030</t>
  </si>
  <si>
    <t>ORD0270</t>
  </si>
  <si>
    <t>ORD0271</t>
  </si>
  <si>
    <t>ORD0272</t>
  </si>
  <si>
    <t>ORD0273</t>
  </si>
  <si>
    <t>ORD0274</t>
  </si>
  <si>
    <t>ORD0275</t>
  </si>
  <si>
    <t>ORD0276</t>
  </si>
  <si>
    <t>C067</t>
  </si>
  <si>
    <t>ORD0277</t>
  </si>
  <si>
    <t>ORD0278</t>
  </si>
  <si>
    <t>C063</t>
  </si>
  <si>
    <t>ORD0279</t>
  </si>
  <si>
    <t>ORD0280</t>
  </si>
  <si>
    <t>ORD0281</t>
  </si>
  <si>
    <t>ORD0282</t>
  </si>
  <si>
    <t>C047</t>
  </si>
  <si>
    <t>ORD0283</t>
  </si>
  <si>
    <t>ORD0284</t>
  </si>
  <si>
    <t>ORD0285</t>
  </si>
  <si>
    <t>C043</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</si>
  <si>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</si>
  <si>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</si>
  <si>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</si>
  <si>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</si>
  <si>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</si>
  <si>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</si>
  <si>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</si>
  <si>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</si>
  <si>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</si>
  <si>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</si>
  <si>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</si>
  <si>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</si>
  <si>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</si>
  <si>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</si>
  <si>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</si>
  <si>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</si>
  <si>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</si>
  <si>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</si>
  <si>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</si>
  <si>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</si>
  <si>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</si>
  <si>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</si>
  <si>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</si>
  <si>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</si>
  <si>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</si>
  <si>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</si>
  <si>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</si>
  <si>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</si>
  <si>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</si>
  <si>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</si>
  <si>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</si>
  <si>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</si>
  <si>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</si>
  <si>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</si>
  <si>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</si>
  <si>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</si>
  <si>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</si>
  <si>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</si>
  <si>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</si>
  <si>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</si>
  <si>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</si>
  <si>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</si>
  <si>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</si>
  <si>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</si>
  <si>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</si>
  <si>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</si>
  <si>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</si>
  <si>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</si>
  <si>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</si>
  <si>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</si>
  <si>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</si>
  <si>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</si>
  <si>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</si>
  <si>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</si>
  <si>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</si>
  <si>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</si>
  <si>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</si>
  <si>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</si>
  <si>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</si>
  <si>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</si>
  <si>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</si>
  <si>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</si>
  <si>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</si>
  <si>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</si>
  <si>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</si>
  <si>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</si>
  <si>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</si>
  <si>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</si>
  <si>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</si>
  <si>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</si>
  <si>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</si>
  <si>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</si>
  <si>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</si>
  <si>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</si>
  <si>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</si>
  <si>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</si>
  <si>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</si>
  <si>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</si>
  <si>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</si>
  <si>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</si>
  <si>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</si>
  <si>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</si>
  <si>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</si>
  <si>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</si>
  <si>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</si>
  <si>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</si>
  <si>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</si>
  <si>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</si>
  <si>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</si>
  <si>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C054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</si>
  <si>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</si>
  <si>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</si>
  <si>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</si>
  <si>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</si>
  <si>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</si>
  <si>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</si>
  <si>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</si>
  <si>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</si>
  <si>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</si>
  <si>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</si>
  <si>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</si>
  <si>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</si>
  <si>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</si>
  <si>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</si>
  <si>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</si>
  <si>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</si>
  <si>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</si>
  <si>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</si>
  <si>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</si>
  <si>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</si>
  <si>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</si>
  <si>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</si>
  <si>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</si>
  <si>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</si>
  <si>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</si>
  <si>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</si>
  <si>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</si>
  <si>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</si>
  <si>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</si>
  <si>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</si>
  <si>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</si>
  <si>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</si>
  <si>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</si>
  <si>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</si>
  <si>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</si>
  <si>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</si>
  <si>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</si>
  <si>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</si>
  <si>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</si>
  <si>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</si>
  <si>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</si>
  <si>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</si>
  <si>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</si>
  <si>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</si>
  <si>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</si>
  <si>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</si>
  <si>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</si>
  <si>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</si>
  <si>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</si>
  <si>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</si>
  <si>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</si>
  <si>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</si>
  <si>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</si>
  <si>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</si>
  <si>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</si>
  <si>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</si>
  <si>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</si>
  <si>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</si>
  <si>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</si>
  <si>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</si>
  <si>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</si>
  <si>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</si>
  <si>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</si>
  <si>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</si>
  <si>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</si>
  <si>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</si>
  <si>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</si>
  <si>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</si>
  <si>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</si>
  <si>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</si>
  <si>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</si>
  <si>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</si>
  <si>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</si>
  <si>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</si>
  <si>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</si>
  <si>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</si>
  <si>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</si>
  <si>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</si>
  <si>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</si>
  <si>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</si>
  <si>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</si>
  <si>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</si>
  <si>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</si>
  <si>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</si>
  <si>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</si>
  <si>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</si>
  <si>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</si>
  <si>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</si>
  <si>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</si>
  <si>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</si>
  <si>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</si>
  <si>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</si>
  <si>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</si>
  <si>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</si>
  <si>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</si>
  <si>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</si>
  <si>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</si>
  <si>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</si>
  <si>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</si>
  <si>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</si>
  <si>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</si>
  <si>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</si>
  <si>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</si>
  <si>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</si>
  <si>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</si>
  <si>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</si>
  <si>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</si>
  <si>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</si>
  <si>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</si>
  <si>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</si>
  <si>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</si>
  <si>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</si>
  <si>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</si>
  <si>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</si>
  <si>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</si>
  <si>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</si>
  <si>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</si>
  <si>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</si>
  <si>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</si>
  <si>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</si>
  <si>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</si>
  <si>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</si>
  <si>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</si>
  <si>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C046</t>
  </si>
  <si>
    <t>ORD0498</t>
  </si>
  <si>
    <t>ORD0499</t>
  </si>
  <si>
    <t>ORD0500</t>
  </si>
  <si>
    <t>Month</t>
  </si>
  <si>
    <t>Age Group</t>
  </si>
  <si>
    <t>Total Sales</t>
  </si>
  <si>
    <t>Total Orders</t>
  </si>
  <si>
    <t>Average Customer Spend</t>
  </si>
  <si>
    <t>Average Order Value</t>
  </si>
  <si>
    <t>Count of Customer ID</t>
  </si>
  <si>
    <t>Total Unique Customers</t>
  </si>
  <si>
    <t>Jan</t>
  </si>
  <si>
    <t>Feb</t>
  </si>
  <si>
    <t>Mar</t>
  </si>
  <si>
    <t>Apr</t>
  </si>
  <si>
    <t>May</t>
  </si>
  <si>
    <t>Jun</t>
  </si>
  <si>
    <t>Jul</t>
  </si>
  <si>
    <t>Aug</t>
  </si>
  <si>
    <t>Sep</t>
  </si>
  <si>
    <t>Oct</t>
  </si>
  <si>
    <t>Nov</t>
  </si>
  <si>
    <t>Dec</t>
  </si>
  <si>
    <t>Grand Total</t>
  </si>
  <si>
    <t>Sum of Sales</t>
  </si>
  <si>
    <t>18-24</t>
  </si>
  <si>
    <t>25-34</t>
  </si>
  <si>
    <t>35-44</t>
  </si>
  <si>
    <t>45+</t>
  </si>
  <si>
    <t>Count of Orders</t>
  </si>
  <si>
    <t>Customer Type</t>
  </si>
  <si>
    <t>Count New Customers</t>
  </si>
  <si>
    <t>Count Repeat Customers</t>
  </si>
  <si>
    <t>Repeat Customer Rate</t>
  </si>
  <si>
    <t>Count of Order ID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</si>
</sst>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6" x14ac:knownFonts="1">
    <font>
      <sz val="11"/>
      <color theme="1"/>
      <name val="Calibri"/>
      <family val="2"/>
      <scheme val="minor"/>
    </font>
    <font>
      <b/>
      <sz val="11"/>
      <name val="Calibri"/>
    </font>
    <font>
      <b/>
      <sz val="11"/>
      <color theme="1"/>
      <name val="Calibri"/>
      <family val="2"/>
      <scheme val="minor"/>
    </font>
    <font>
      <b/>
      <sz val="12"/>
      <color theme="1"/>
      <name val="Calibri"/>
      <family val="2"/>
      <scheme val="minor"/>
    </font>
    <font>
      <b/>
      <sz val="11"/>
      <name val="Calibri"/>
      <family val="2"/>
      <scheme val="minor"/>
    </font>
    <font>
      <sz val="1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1" fillId="0" borderId="0" xfId="0" applyFont="1"/>
    <xf numFmtId="164" fontId="0" fillId="0" borderId="0" xfId="0" applyNumberFormat="1"/>
    <xf numFmtId="0" fontId="2" fillId="0" borderId="0" xfId="0" applyFont="1"/>
    <xf numFmtId="0" fontId="3" fillId="0" borderId="0" xfId="0" applyFont="1" applyAlignment="1">
      <alignment vertical="center"/>
    </xf>
    <xf numFmtId="0" fontId="3" fillId="0" borderId="0" xfId="0" applyFont="1"/>
    <xf numFmtId="0" fontId="0" fillId="0" borderId="0" xfId="0" applyNumberFormat="1"/>
    <xf numFmtId="0" fontId="2" fillId="2" borderId="1" xfId="0" applyFont="1" applyFill="1" applyBorder="1"/>
    <xf numFmtId="0" fontId="0" fillId="0" borderId="0" xfId="0" pivotButton="1"/>
    <xf numFmtId="0" fontId="0" fillId="0" borderId="0" xfId="0" applyAlignment="1">
      <alignment horizontal="left"/>
    </xf>
    <xf numFmtId="0" fontId="1" fillId="0" borderId="0" xfId="0" applyFont="1" applyBorder="1"/>
    <xf numFmtId="0" fontId="0" fillId="0" borderId="0" xfId="0" applyBorder="1"/>
    <xf numFmtId="0" fontId="4" fillId="0" borderId="0" xfId="0" applyFont="1"/>
    <xf numFmtId="0" fontId="5" fillId="0" borderId="0" xfId="0" applyFont="1"/>
  </cellXfs>
  <cellStyles count="1">
    <cellStyle name="Normal" xfId="0" builtinId="0"/>
  </cellStyles>
  <dxfs count="2">
    <dxf>
      <numFmt numFmtId="164" formatCode="yyyy\-mm\-dd"/>
    </dxf>
    <dxf>
      <font>
        <b/>
        <i val="0"/>
        <strike val="0"/>
        <condense val="0"/>
        <extend val="0"/>
        <outline val="0"/>
        <shadow val="0"/>
        <u val="none"/>
        <vertAlign val="baseline"/>
        <sz val="11"/>
        <color auto="1"/>
        <name val="Calibri"/>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Analysis Dashboard.xlsx]Sheet2!PivotTable1</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92D050"/>
                </a:solidFill>
              </a:rPr>
              <a:t>Monthly Sales Trend</a:t>
            </a:r>
            <a:endParaRPr lang="en-IN" sz="1600" b="1">
              <a:solidFill>
                <a:srgbClr val="92D050"/>
              </a:solidFill>
            </a:endParaRPr>
          </a:p>
        </c:rich>
      </c:tx>
      <c:layout>
        <c:manualLayout>
          <c:xMode val="edge"/>
          <c:yMode val="edge"/>
          <c:x val="0.29709783065546413"/>
          <c:y val="2.922471222434387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150600</c:v>
                </c:pt>
                <c:pt idx="1">
                  <c:v>161250</c:v>
                </c:pt>
                <c:pt idx="2">
                  <c:v>175250</c:v>
                </c:pt>
                <c:pt idx="3">
                  <c:v>146250</c:v>
                </c:pt>
                <c:pt idx="4">
                  <c:v>178050</c:v>
                </c:pt>
                <c:pt idx="5">
                  <c:v>171950</c:v>
                </c:pt>
                <c:pt idx="6">
                  <c:v>161650</c:v>
                </c:pt>
                <c:pt idx="7">
                  <c:v>189600</c:v>
                </c:pt>
                <c:pt idx="8">
                  <c:v>140650</c:v>
                </c:pt>
                <c:pt idx="9">
                  <c:v>160850</c:v>
                </c:pt>
                <c:pt idx="10">
                  <c:v>220700</c:v>
                </c:pt>
                <c:pt idx="11">
                  <c:v>170250</c:v>
                </c:pt>
              </c:numCache>
            </c:numRef>
          </c:val>
          <c:smooth val="0"/>
        </c:ser>
        <c:dLbls>
          <c:dLblPos val="t"/>
          <c:showLegendKey val="0"/>
          <c:showVal val="1"/>
          <c:showCatName val="0"/>
          <c:showSerName val="0"/>
          <c:showPercent val="0"/>
          <c:showBubbleSize val="0"/>
        </c:dLbls>
        <c:smooth val="0"/>
        <c:axId val="1155578880"/>
        <c:axId val="1155581056"/>
      </c:lineChart>
      <c:catAx>
        <c:axId val="115557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81056"/>
        <c:crosses val="autoZero"/>
        <c:auto val="1"/>
        <c:lblAlgn val="ctr"/>
        <c:lblOffset val="100"/>
        <c:noMultiLvlLbl val="0"/>
      </c:catAx>
      <c:valAx>
        <c:axId val="115558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78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Analysis Dashboard.xlsx]Sheet2!PivotTable2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92D050"/>
                </a:solidFill>
              </a:rPr>
              <a:t>Category Wise Sales</a:t>
            </a:r>
            <a:endParaRPr lang="en-IN" sz="1600" b="1">
              <a:solidFill>
                <a:srgbClr val="92D050"/>
              </a:solidFill>
            </a:endParaRPr>
          </a:p>
        </c:rich>
      </c:tx>
      <c:layout>
        <c:manualLayout>
          <c:xMode val="edge"/>
          <c:yMode val="edge"/>
          <c:x val="0.35956237281827486"/>
          <c:y val="3.1386546778039946E-2"/>
        </c:manualLayout>
      </c:layout>
      <c:overlay val="0"/>
      <c:spPr>
        <a:noFill/>
        <a:ln>
          <a:no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Sheet2!$D$4:$D$9</c:f>
              <c:strCache>
                <c:ptCount val="5"/>
                <c:pt idx="0">
                  <c:v>Beauty</c:v>
                </c:pt>
                <c:pt idx="1">
                  <c:v>Books</c:v>
                </c:pt>
                <c:pt idx="2">
                  <c:v>Electronics</c:v>
                </c:pt>
                <c:pt idx="3">
                  <c:v>Fashion</c:v>
                </c:pt>
                <c:pt idx="4">
                  <c:v>Home Decor</c:v>
                </c:pt>
              </c:strCache>
            </c:strRef>
          </c:cat>
          <c:val>
            <c:numRef>
              <c:f>Sheet2!$E$4:$E$9</c:f>
              <c:numCache>
                <c:formatCode>General</c:formatCode>
                <c:ptCount val="5"/>
                <c:pt idx="0">
                  <c:v>253350</c:v>
                </c:pt>
                <c:pt idx="1">
                  <c:v>207700</c:v>
                </c:pt>
                <c:pt idx="2">
                  <c:v>661200</c:v>
                </c:pt>
                <c:pt idx="3">
                  <c:v>540900</c:v>
                </c:pt>
                <c:pt idx="4">
                  <c:v>363900</c:v>
                </c:pt>
              </c:numCache>
            </c:numRef>
          </c:val>
        </c:ser>
        <c:dLbls>
          <c:dLblPos val="outEnd"/>
          <c:showLegendKey val="0"/>
          <c:showVal val="1"/>
          <c:showCatName val="0"/>
          <c:showSerName val="0"/>
          <c:showPercent val="0"/>
          <c:showBubbleSize val="0"/>
        </c:dLbls>
        <c:gapWidth val="219"/>
        <c:overlap val="-27"/>
        <c:axId val="1155579424"/>
        <c:axId val="1155576704"/>
      </c:barChart>
      <c:catAx>
        <c:axId val="115557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76704"/>
        <c:crosses val="autoZero"/>
        <c:auto val="1"/>
        <c:lblAlgn val="ctr"/>
        <c:lblOffset val="100"/>
        <c:noMultiLvlLbl val="0"/>
      </c:catAx>
      <c:valAx>
        <c:axId val="115557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79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Analysis Dashboard.xlsx]Sheet2!PivotTable3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92D050"/>
                </a:solidFill>
              </a:rPr>
              <a:t>State Wise Sales</a:t>
            </a:r>
            <a:endParaRPr lang="en-IN" sz="1600" b="1">
              <a:solidFill>
                <a:srgbClr val="92D050"/>
              </a:solidFill>
            </a:endParaRPr>
          </a:p>
        </c:rich>
      </c:tx>
      <c:layout>
        <c:manualLayout>
          <c:xMode val="edge"/>
          <c:yMode val="edge"/>
          <c:x val="0.39299300087489064"/>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Sheet2!$G$4:$G$10</c:f>
              <c:strCache>
                <c:ptCount val="6"/>
                <c:pt idx="0">
                  <c:v>Delhi</c:v>
                </c:pt>
                <c:pt idx="1">
                  <c:v>Gujarat</c:v>
                </c:pt>
                <c:pt idx="2">
                  <c:v>Karnataka</c:v>
                </c:pt>
                <c:pt idx="3">
                  <c:v>Maharashtra</c:v>
                </c:pt>
                <c:pt idx="4">
                  <c:v>Rajasthan</c:v>
                </c:pt>
                <c:pt idx="5">
                  <c:v>Telangana</c:v>
                </c:pt>
              </c:strCache>
            </c:strRef>
          </c:cat>
          <c:val>
            <c:numRef>
              <c:f>Sheet2!$H$4:$H$10</c:f>
              <c:numCache>
                <c:formatCode>General</c:formatCode>
                <c:ptCount val="6"/>
                <c:pt idx="0">
                  <c:v>163900</c:v>
                </c:pt>
                <c:pt idx="1">
                  <c:v>383300</c:v>
                </c:pt>
                <c:pt idx="2">
                  <c:v>432500</c:v>
                </c:pt>
                <c:pt idx="3">
                  <c:v>663200</c:v>
                </c:pt>
                <c:pt idx="4">
                  <c:v>182550</c:v>
                </c:pt>
                <c:pt idx="5">
                  <c:v>201600</c:v>
                </c:pt>
              </c:numCache>
            </c:numRef>
          </c:val>
        </c:ser>
        <c:dLbls>
          <c:dLblPos val="outEnd"/>
          <c:showLegendKey val="0"/>
          <c:showVal val="1"/>
          <c:showCatName val="0"/>
          <c:showSerName val="0"/>
          <c:showPercent val="0"/>
          <c:showBubbleSize val="0"/>
        </c:dLbls>
        <c:gapWidth val="182"/>
        <c:axId val="1155572896"/>
        <c:axId val="1155574528"/>
      </c:barChart>
      <c:catAx>
        <c:axId val="115557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74528"/>
        <c:crosses val="autoZero"/>
        <c:auto val="1"/>
        <c:lblAlgn val="ctr"/>
        <c:lblOffset val="100"/>
        <c:noMultiLvlLbl val="0"/>
      </c:catAx>
      <c:valAx>
        <c:axId val="1155574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72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Analysis Dashboard.xlsx]Sheet2!PivotTable4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92D050"/>
                </a:solidFill>
              </a:rPr>
              <a:t>Gender-wise Sales</a:t>
            </a:r>
            <a:endParaRPr lang="en-US" sz="1600" b="1">
              <a:solidFill>
                <a:srgbClr val="92D050"/>
              </a:solidFill>
            </a:endParaRPr>
          </a:p>
        </c:rich>
      </c:tx>
      <c:layout>
        <c:manualLayout>
          <c:xMode val="edge"/>
          <c:yMode val="edge"/>
          <c:x val="0.32804855643044617"/>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19050">
            <a:solidFill>
              <a:schemeClr val="lt1"/>
            </a:solidFill>
          </a:ln>
          <a:effectLst/>
        </c:spPr>
        <c:marker>
          <c:symbol val="none"/>
        </c:marker>
      </c:pivotFmt>
      <c:pivotFmt>
        <c:idx val="1"/>
        <c:spPr>
          <a:solidFill>
            <a:srgbClr val="7030A0"/>
          </a:solidFill>
          <a:ln w="19050">
            <a:solidFill>
              <a:schemeClr val="lt1"/>
            </a:solidFill>
          </a:ln>
          <a:effectLst/>
        </c:spPr>
      </c:pivotFmt>
      <c:pivotFmt>
        <c:idx val="2"/>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w="19050">
            <a:solidFill>
              <a:schemeClr val="lt1"/>
            </a:solidFill>
          </a:ln>
          <a:effectLst/>
        </c:spPr>
      </c:pivotFmt>
      <c:pivotFmt>
        <c:idx val="4"/>
        <c:spPr>
          <a:solidFill>
            <a:srgbClr val="92D050"/>
          </a:solidFill>
          <a:ln w="19050">
            <a:solidFill>
              <a:schemeClr val="lt1"/>
            </a:solidFill>
          </a:ln>
          <a:effectLst/>
        </c:spPr>
      </c:pivotFmt>
      <c:pivotFmt>
        <c:idx val="5"/>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solidFill>
              <a:schemeClr val="lt1"/>
            </a:solidFill>
          </a:ln>
          <a:effectLst/>
        </c:spPr>
        <c:dLbl>
          <c:idx val="0"/>
          <c:layout>
            <c:manualLayout>
              <c:x val="9.187279151943463E-2"/>
              <c:y val="-0.1963167131992371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ACB9435-836B-41A1-8610-DE5A5B93D80E}" type="VALUE">
                  <a:rPr lang="en-US" sz="1000" b="1">
                    <a:solidFill>
                      <a:schemeClr val="accent6"/>
                    </a:solidFill>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514723203769141"/>
                  <c:h val="0.10996779977835594"/>
                </c:manualLayout>
              </c15:layout>
              <c15:dlblFieldTable/>
              <c15:showDataLabelsRange val="0"/>
            </c:ext>
          </c:extLst>
        </c:dLbl>
      </c:pivotFmt>
      <c:pivotFmt>
        <c:idx val="7"/>
        <c:spPr>
          <a:solidFill>
            <a:srgbClr val="92D050"/>
          </a:solidFill>
          <a:ln w="19050">
            <a:solidFill>
              <a:schemeClr val="lt1"/>
            </a:solidFill>
          </a:ln>
          <a:effectLst/>
        </c:spPr>
        <c:dLbl>
          <c:idx val="0"/>
          <c:layout>
            <c:manualLayout>
              <c:x val="-8.95170789163722E-2"/>
              <c:y val="0.217458513082231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6F463E-306B-4364-8C28-42BA2092F278}" type="VALUE">
                  <a:rPr lang="en-US" sz="1000" b="1">
                    <a:solidFill>
                      <a:schemeClr val="accent6"/>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s>
    <c:plotArea>
      <c:layout/>
      <c:doughnutChart>
        <c:varyColors val="1"/>
        <c:ser>
          <c:idx val="0"/>
          <c:order val="0"/>
          <c:tx>
            <c:strRef>
              <c:f>Sheet2!$K$3</c:f>
              <c:strCache>
                <c:ptCount val="1"/>
                <c:pt idx="0">
                  <c:v>Total</c:v>
                </c:pt>
              </c:strCache>
            </c:strRef>
          </c:tx>
          <c:spPr>
            <a:solidFill>
              <a:srgbClr val="92D050"/>
            </a:solidFill>
          </c:spPr>
          <c:dPt>
            <c:idx val="0"/>
            <c:bubble3D val="0"/>
            <c:spPr>
              <a:solidFill>
                <a:srgbClr val="7030A0"/>
              </a:solidFill>
              <a:ln w="19050">
                <a:solidFill>
                  <a:schemeClr val="lt1"/>
                </a:solidFill>
              </a:ln>
              <a:effectLst/>
            </c:spPr>
          </c:dPt>
          <c:dPt>
            <c:idx val="1"/>
            <c:bubble3D val="0"/>
            <c:spPr>
              <a:solidFill>
                <a:srgbClr val="92D050"/>
              </a:solidFill>
              <a:ln w="19050">
                <a:solidFill>
                  <a:schemeClr val="lt1"/>
                </a:solidFill>
              </a:ln>
              <a:effectLst/>
            </c:spPr>
          </c:dPt>
          <c:dLbls>
            <c:dLbl>
              <c:idx val="0"/>
              <c:layout>
                <c:manualLayout>
                  <c:x val="9.187279151943463E-2"/>
                  <c:y val="-0.1963167131992371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ACB9435-836B-41A1-8610-DE5A5B93D80E}" type="VALUE">
                      <a:rPr lang="en-US" sz="1000" b="1">
                        <a:solidFill>
                          <a:schemeClr val="accent6"/>
                        </a:solidFill>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514723203769141"/>
                      <c:h val="0.10996779977835594"/>
                    </c:manualLayout>
                  </c15:layout>
                  <c15:dlblFieldTable/>
                  <c15:showDataLabelsRange val="0"/>
                </c:ext>
              </c:extLst>
            </c:dLbl>
            <c:dLbl>
              <c:idx val="1"/>
              <c:layout>
                <c:manualLayout>
                  <c:x val="-8.95170789163722E-2"/>
                  <c:y val="0.21745851308223185"/>
                </c:manualLayout>
              </c:layout>
              <c:tx>
                <c:rich>
                  <a:bodyPr/>
                  <a:lstStyle/>
                  <a:p>
                    <a:fld id="{806F463E-306B-4364-8C28-42BA2092F278}" type="VALUE">
                      <a:rPr lang="en-US" sz="1000" b="1">
                        <a:solidFill>
                          <a:schemeClr val="accent6"/>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Sheet2!$J$4:$J$6</c:f>
              <c:strCache>
                <c:ptCount val="2"/>
                <c:pt idx="0">
                  <c:v>Female</c:v>
                </c:pt>
                <c:pt idx="1">
                  <c:v>Male</c:v>
                </c:pt>
              </c:strCache>
            </c:strRef>
          </c:cat>
          <c:val>
            <c:numRef>
              <c:f>Sheet2!$K$4:$K$6</c:f>
              <c:numCache>
                <c:formatCode>General</c:formatCode>
                <c:ptCount val="2"/>
                <c:pt idx="0">
                  <c:v>994700</c:v>
                </c:pt>
                <c:pt idx="1">
                  <c:v>1032350</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Analysis Dashboard.xlsx]Sheet2!PivotTable5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92D050"/>
                </a:solidFill>
              </a:rPr>
              <a:t>Age Group Analysis</a:t>
            </a:r>
            <a:endParaRPr lang="en-US" sz="1600" b="1">
              <a:solidFill>
                <a:srgbClr val="92D050"/>
              </a:solidFill>
            </a:endParaRPr>
          </a:p>
        </c:rich>
      </c:tx>
      <c:layout>
        <c:manualLayout>
          <c:xMode val="edge"/>
          <c:yMode val="edge"/>
          <c:x val="0.32479855643044619"/>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Sheet2!$N$3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Sheet2!$M$4:$M$8</c:f>
              <c:strCache>
                <c:ptCount val="4"/>
                <c:pt idx="0">
                  <c:v>18-24</c:v>
                </c:pt>
                <c:pt idx="1">
                  <c:v>25-34</c:v>
                </c:pt>
                <c:pt idx="2">
                  <c:v>35-44</c:v>
                </c:pt>
                <c:pt idx="3">
                  <c:v>45+</c:v>
                </c:pt>
              </c:strCache>
            </c:strRef>
          </c:cat>
          <c:val>
            <c:numRef>
              <c:f>Sheet2!$N$4:$N$8</c:f>
              <c:numCache>
                <c:formatCode>General</c:formatCode>
                <c:ptCount val="4"/>
                <c:pt idx="0">
                  <c:v>298750</c:v>
                </c:pt>
                <c:pt idx="1">
                  <c:v>583500</c:v>
                </c:pt>
                <c:pt idx="2">
                  <c:v>592650</c:v>
                </c:pt>
                <c:pt idx="3">
                  <c:v>552150</c:v>
                </c:pt>
              </c:numCache>
            </c:numRef>
          </c:val>
          <c:smooth val="0"/>
        </c:ser>
        <c:dLbls>
          <c:dLblPos val="t"/>
          <c:showLegendKey val="0"/>
          <c:showVal val="1"/>
          <c:showCatName val="0"/>
          <c:showSerName val="0"/>
          <c:showPercent val="0"/>
          <c:showBubbleSize val="0"/>
        </c:dLbls>
        <c:smooth val="0"/>
        <c:axId val="1155575072"/>
        <c:axId val="1155577792"/>
      </c:lineChart>
      <c:catAx>
        <c:axId val="115557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77792"/>
        <c:crosses val="autoZero"/>
        <c:auto val="1"/>
        <c:lblAlgn val="ctr"/>
        <c:lblOffset val="100"/>
        <c:noMultiLvlLbl val="0"/>
      </c:catAx>
      <c:valAx>
        <c:axId val="115557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75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Analysis Dashboard.xlsx]Sheet2!PivotTable12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600" b="1" i="0" baseline="0">
                <a:solidFill>
                  <a:srgbClr val="92D050"/>
                </a:solidFill>
                <a:effectLst/>
              </a:rPr>
              <a:t>City Wise Sales</a:t>
            </a:r>
            <a:endParaRPr lang="en-IN" sz="1600" b="1">
              <a:solidFill>
                <a:srgbClr val="92D050"/>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35827077865266849"/>
          <c:y val="3.13867016622922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53608486945554"/>
          <c:y val="0.19251902853859698"/>
          <c:w val="0.87496966132706022"/>
          <c:h val="0.44809097017006377"/>
        </c:manualLayout>
      </c:layout>
      <c:bar3DChart>
        <c:barDir val="col"/>
        <c:grouping val="clustered"/>
        <c:varyColors val="0"/>
        <c:ser>
          <c:idx val="0"/>
          <c:order val="0"/>
          <c:tx>
            <c:strRef>
              <c:f>Sheet2!$K$10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Sheet2!$J$11:$J$21</c:f>
              <c:strCache>
                <c:ptCount val="10"/>
                <c:pt idx="0">
                  <c:v>Ahmedabad</c:v>
                </c:pt>
                <c:pt idx="1">
                  <c:v>Bengaluru</c:v>
                </c:pt>
                <c:pt idx="2">
                  <c:v>Delhi</c:v>
                </c:pt>
                <c:pt idx="3">
                  <c:v>Hyderabad</c:v>
                </c:pt>
                <c:pt idx="4">
                  <c:v>Jaipur</c:v>
                </c:pt>
                <c:pt idx="5">
                  <c:v>Mumbai</c:v>
                </c:pt>
                <c:pt idx="6">
                  <c:v>Mysuru</c:v>
                </c:pt>
                <c:pt idx="7">
                  <c:v>Nagpur</c:v>
                </c:pt>
                <c:pt idx="8">
                  <c:v>Pune</c:v>
                </c:pt>
                <c:pt idx="9">
                  <c:v>Surat</c:v>
                </c:pt>
              </c:strCache>
            </c:strRef>
          </c:cat>
          <c:val>
            <c:numRef>
              <c:f>Sheet2!$K$11:$K$21</c:f>
              <c:numCache>
                <c:formatCode>General</c:formatCode>
                <c:ptCount val="10"/>
                <c:pt idx="0">
                  <c:v>202250</c:v>
                </c:pt>
                <c:pt idx="1">
                  <c:v>218000</c:v>
                </c:pt>
                <c:pt idx="2">
                  <c:v>163900</c:v>
                </c:pt>
                <c:pt idx="3">
                  <c:v>201600</c:v>
                </c:pt>
                <c:pt idx="4">
                  <c:v>182550</c:v>
                </c:pt>
                <c:pt idx="5">
                  <c:v>245700</c:v>
                </c:pt>
                <c:pt idx="6">
                  <c:v>214500</c:v>
                </c:pt>
                <c:pt idx="7">
                  <c:v>201850</c:v>
                </c:pt>
                <c:pt idx="8">
                  <c:v>215650</c:v>
                </c:pt>
                <c:pt idx="9">
                  <c:v>181050</c:v>
                </c:pt>
              </c:numCache>
            </c:numRef>
          </c:val>
        </c:ser>
        <c:dLbls>
          <c:showLegendKey val="0"/>
          <c:showVal val="1"/>
          <c:showCatName val="0"/>
          <c:showSerName val="0"/>
          <c:showPercent val="0"/>
          <c:showBubbleSize val="0"/>
        </c:dLbls>
        <c:gapWidth val="150"/>
        <c:shape val="box"/>
        <c:axId val="1155578336"/>
        <c:axId val="1155580512"/>
        <c:axId val="0"/>
      </c:bar3DChart>
      <c:catAx>
        <c:axId val="1155578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80512"/>
        <c:crosses val="autoZero"/>
        <c:auto val="1"/>
        <c:lblAlgn val="ctr"/>
        <c:lblOffset val="100"/>
        <c:noMultiLvlLbl val="0"/>
      </c:catAx>
      <c:valAx>
        <c:axId val="115558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78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Analysis Dashboard.xlsx]Sheet2!PivotTable11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92D050"/>
                </a:solidFill>
              </a:rPr>
              <a:t>Product Performance</a:t>
            </a:r>
            <a:endParaRPr lang="en-IN" sz="1600" b="1">
              <a:solidFill>
                <a:srgbClr val="92D050"/>
              </a:solidFill>
            </a:endParaRPr>
          </a:p>
        </c:rich>
      </c:tx>
      <c:layout>
        <c:manualLayout>
          <c:xMode val="edge"/>
          <c:yMode val="edge"/>
          <c:x val="0.2902777777777778"/>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Sheet2!$H$12</c:f>
              <c:strCache>
                <c:ptCount val="1"/>
                <c:pt idx="0">
                  <c:v>Total</c:v>
                </c:pt>
              </c:strCache>
            </c:strRef>
          </c:tx>
          <c:spPr>
            <a:solidFill>
              <a:schemeClr val="accent1"/>
            </a:solidFill>
            <a:ln>
              <a:noFill/>
            </a:ln>
            <a:effectLst/>
          </c:spPr>
          <c:invertIfNegative val="0"/>
          <c:cat>
            <c:strRef>
              <c:f>Sheet2!$G$13:$G$33</c:f>
              <c:strCache>
                <c:ptCount val="20"/>
                <c:pt idx="0">
                  <c:v>Biography</c:v>
                </c:pt>
                <c:pt idx="1">
                  <c:v>Comics</c:v>
                </c:pt>
                <c:pt idx="2">
                  <c:v>Cushion</c:v>
                </c:pt>
                <c:pt idx="3">
                  <c:v>Face Wash</c:v>
                </c:pt>
                <c:pt idx="4">
                  <c:v>Headphones</c:v>
                </c:pt>
                <c:pt idx="5">
                  <c:v>Jacket</c:v>
                </c:pt>
                <c:pt idx="6">
                  <c:v>Jeans</c:v>
                </c:pt>
                <c:pt idx="7">
                  <c:v>Keyboard</c:v>
                </c:pt>
                <c:pt idx="8">
                  <c:v>Lamp</c:v>
                </c:pt>
                <c:pt idx="9">
                  <c:v>Lipstick</c:v>
                </c:pt>
                <c:pt idx="10">
                  <c:v>Moisturizer</c:v>
                </c:pt>
                <c:pt idx="11">
                  <c:v>Mouse</c:v>
                </c:pt>
                <c:pt idx="12">
                  <c:v>Novel</c:v>
                </c:pt>
                <c:pt idx="13">
                  <c:v>Perfume</c:v>
                </c:pt>
                <c:pt idx="14">
                  <c:v>Shoes</c:v>
                </c:pt>
                <c:pt idx="15">
                  <c:v>Smartwatch</c:v>
                </c:pt>
                <c:pt idx="16">
                  <c:v>Study Guide</c:v>
                </c:pt>
                <c:pt idx="17">
                  <c:v>T-Shirt</c:v>
                </c:pt>
                <c:pt idx="18">
                  <c:v>Vase</c:v>
                </c:pt>
                <c:pt idx="19">
                  <c:v>Wall Art</c:v>
                </c:pt>
              </c:strCache>
            </c:strRef>
          </c:cat>
          <c:val>
            <c:numRef>
              <c:f>Sheet2!$H$13:$H$33</c:f>
              <c:numCache>
                <c:formatCode>General</c:formatCode>
                <c:ptCount val="20"/>
                <c:pt idx="0">
                  <c:v>63700</c:v>
                </c:pt>
                <c:pt idx="1">
                  <c:v>25800</c:v>
                </c:pt>
                <c:pt idx="2">
                  <c:v>52500</c:v>
                </c:pt>
                <c:pt idx="3">
                  <c:v>26950</c:v>
                </c:pt>
                <c:pt idx="4">
                  <c:v>130500</c:v>
                </c:pt>
                <c:pt idx="5">
                  <c:v>187500</c:v>
                </c:pt>
                <c:pt idx="6">
                  <c:v>135000</c:v>
                </c:pt>
                <c:pt idx="7">
                  <c:v>172500</c:v>
                </c:pt>
                <c:pt idx="8">
                  <c:v>108000</c:v>
                </c:pt>
                <c:pt idx="9">
                  <c:v>63200</c:v>
                </c:pt>
                <c:pt idx="10">
                  <c:v>55200</c:v>
                </c:pt>
                <c:pt idx="11">
                  <c:v>43200</c:v>
                </c:pt>
                <c:pt idx="12">
                  <c:v>39000</c:v>
                </c:pt>
                <c:pt idx="13">
                  <c:v>108000</c:v>
                </c:pt>
                <c:pt idx="14">
                  <c:v>189000</c:v>
                </c:pt>
                <c:pt idx="15">
                  <c:v>315000</c:v>
                </c:pt>
                <c:pt idx="16">
                  <c:v>79200</c:v>
                </c:pt>
                <c:pt idx="17">
                  <c:v>29400</c:v>
                </c:pt>
                <c:pt idx="18">
                  <c:v>88200</c:v>
                </c:pt>
                <c:pt idx="19">
                  <c:v>115200</c:v>
                </c:pt>
              </c:numCache>
            </c:numRef>
          </c:val>
        </c:ser>
        <c:dLbls>
          <c:showLegendKey val="0"/>
          <c:showVal val="0"/>
          <c:showCatName val="0"/>
          <c:showSerName val="0"/>
          <c:showPercent val="0"/>
          <c:showBubbleSize val="0"/>
        </c:dLbls>
        <c:gapWidth val="150"/>
        <c:overlap val="100"/>
        <c:axId val="1155582144"/>
        <c:axId val="1155568544"/>
      </c:barChart>
      <c:catAx>
        <c:axId val="115558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68544"/>
        <c:crosses val="autoZero"/>
        <c:auto val="1"/>
        <c:lblAlgn val="ctr"/>
        <c:lblOffset val="100"/>
        <c:noMultiLvlLbl val="0"/>
      </c:catAx>
      <c:valAx>
        <c:axId val="115556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82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92D050"/>
                </a:solidFill>
              </a:rPr>
              <a:t>New </a:t>
            </a:r>
            <a:r>
              <a:rPr lang="en-IN" sz="1600" b="1" baseline="0">
                <a:solidFill>
                  <a:srgbClr val="92D050"/>
                </a:solidFill>
              </a:rPr>
              <a:t>vs</a:t>
            </a:r>
            <a:r>
              <a:rPr lang="en-IN" sz="1600" b="1">
                <a:solidFill>
                  <a:srgbClr val="92D050"/>
                </a:solidFill>
              </a:rPr>
              <a:t> Repeat Customers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v>Series1</c:v>
          </c:tx>
          <c:dPt>
            <c:idx val="0"/>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0">
                <a:spAutoFit/>
              </a:bodyPr>
              <a:lstStyle/>
              <a:p>
                <a:pPr algn="ct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numLit>
              <c:formatCode>General</c:formatCode>
              <c:ptCount val="1"/>
              <c:pt idx="0">
                <c:v>0</c:v>
              </c:pt>
            </c:numLit>
          </c:cat>
          <c:val>
            <c:numLit>
              <c:formatCode>General</c:formatCode>
              <c:ptCount val="1"/>
              <c:pt idx="0">
                <c:v>95</c:v>
              </c:pt>
            </c:numLit>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Analysis Dashboard.xlsx]Sheet2!PivotTable25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92D050"/>
                </a:solidFill>
              </a:rPr>
              <a:t>Top Repeat Customers</a:t>
            </a:r>
            <a:endParaRPr lang="en-IN" sz="1600" b="1">
              <a:solidFill>
                <a:srgbClr val="92D050"/>
              </a:solidFill>
            </a:endParaRPr>
          </a:p>
        </c:rich>
      </c:tx>
      <c:layout>
        <c:manualLayout>
          <c:xMode val="edge"/>
          <c:yMode val="edge"/>
          <c:x val="0.47036609537771989"/>
          <c:y val="3.34604130036099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Sheet2!$B$35</c:f>
              <c:strCache>
                <c:ptCount val="1"/>
                <c:pt idx="0">
                  <c:v>Sum of Sales</c:v>
                </c:pt>
              </c:strCache>
            </c:strRef>
          </c:tx>
          <c:spPr>
            <a:solidFill>
              <a:schemeClr val="accent1"/>
            </a:solidFill>
            <a:ln>
              <a:noFill/>
            </a:ln>
            <a:effectLst/>
          </c:spPr>
          <c:invertIfNegative val="0"/>
          <c:cat>
            <c:strRef>
              <c:f>Sheet2!$A$36:$A$46</c:f>
              <c:strCache>
                <c:ptCount val="10"/>
                <c:pt idx="0">
                  <c:v>Rohan Gupta</c:v>
                </c:pt>
                <c:pt idx="1">
                  <c:v>Sneha Joshi</c:v>
                </c:pt>
                <c:pt idx="2">
                  <c:v>Riya Kapoor</c:v>
                </c:pt>
                <c:pt idx="3">
                  <c:v>Akash Mishra</c:v>
                </c:pt>
                <c:pt idx="4">
                  <c:v>Nitin Patil</c:v>
                </c:pt>
                <c:pt idx="5">
                  <c:v>Karan Mehta</c:v>
                </c:pt>
                <c:pt idx="6">
                  <c:v>Priya Patel</c:v>
                </c:pt>
                <c:pt idx="7">
                  <c:v>Neha Singh</c:v>
                </c:pt>
                <c:pt idx="8">
                  <c:v>Amit Sharma</c:v>
                </c:pt>
                <c:pt idx="9">
                  <c:v>Simran Kaur</c:v>
                </c:pt>
              </c:strCache>
            </c:strRef>
          </c:cat>
          <c:val>
            <c:numRef>
              <c:f>Sheet2!$B$36:$B$46</c:f>
              <c:numCache>
                <c:formatCode>General</c:formatCode>
                <c:ptCount val="10"/>
                <c:pt idx="0">
                  <c:v>198000</c:v>
                </c:pt>
                <c:pt idx="1">
                  <c:v>168950</c:v>
                </c:pt>
                <c:pt idx="2">
                  <c:v>143300</c:v>
                </c:pt>
                <c:pt idx="3">
                  <c:v>133600</c:v>
                </c:pt>
                <c:pt idx="4">
                  <c:v>132800</c:v>
                </c:pt>
                <c:pt idx="5">
                  <c:v>112700</c:v>
                </c:pt>
                <c:pt idx="6">
                  <c:v>104500</c:v>
                </c:pt>
                <c:pt idx="7">
                  <c:v>104000</c:v>
                </c:pt>
                <c:pt idx="8">
                  <c:v>101300</c:v>
                </c:pt>
                <c:pt idx="9">
                  <c:v>97100</c:v>
                </c:pt>
              </c:numCache>
            </c:numRef>
          </c:val>
        </c:ser>
        <c:ser>
          <c:idx val="1"/>
          <c:order val="1"/>
          <c:tx>
            <c:strRef>
              <c:f>Sheet2!$C$35</c:f>
              <c:strCache>
                <c:ptCount val="1"/>
                <c:pt idx="0">
                  <c:v>Count of Order ID</c:v>
                </c:pt>
              </c:strCache>
            </c:strRef>
          </c:tx>
          <c:spPr>
            <a:solidFill>
              <a:schemeClr val="accent2"/>
            </a:solidFill>
            <a:ln>
              <a:noFill/>
            </a:ln>
            <a:effectLst/>
          </c:spPr>
          <c:invertIfNegative val="0"/>
          <c:cat>
            <c:strRef>
              <c:f>Sheet2!$A$36:$A$46</c:f>
              <c:strCache>
                <c:ptCount val="10"/>
                <c:pt idx="0">
                  <c:v>Rohan Gupta</c:v>
                </c:pt>
                <c:pt idx="1">
                  <c:v>Sneha Joshi</c:v>
                </c:pt>
                <c:pt idx="2">
                  <c:v>Riya Kapoor</c:v>
                </c:pt>
                <c:pt idx="3">
                  <c:v>Akash Mishra</c:v>
                </c:pt>
                <c:pt idx="4">
                  <c:v>Nitin Patil</c:v>
                </c:pt>
                <c:pt idx="5">
                  <c:v>Karan Mehta</c:v>
                </c:pt>
                <c:pt idx="6">
                  <c:v>Priya Patel</c:v>
                </c:pt>
                <c:pt idx="7">
                  <c:v>Neha Singh</c:v>
                </c:pt>
                <c:pt idx="8">
                  <c:v>Amit Sharma</c:v>
                </c:pt>
                <c:pt idx="9">
                  <c:v>Simran Kaur</c:v>
                </c:pt>
              </c:strCache>
            </c:strRef>
          </c:cat>
          <c:val>
            <c:numRef>
              <c:f>Sheet2!$C$36:$C$46</c:f>
              <c:numCache>
                <c:formatCode>General</c:formatCode>
                <c:ptCount val="10"/>
                <c:pt idx="0">
                  <c:v>36</c:v>
                </c:pt>
                <c:pt idx="1">
                  <c:v>35</c:v>
                </c:pt>
                <c:pt idx="2">
                  <c:v>30</c:v>
                </c:pt>
                <c:pt idx="3">
                  <c:v>26</c:v>
                </c:pt>
                <c:pt idx="4">
                  <c:v>29</c:v>
                </c:pt>
                <c:pt idx="5">
                  <c:v>40</c:v>
                </c:pt>
                <c:pt idx="6">
                  <c:v>24</c:v>
                </c:pt>
                <c:pt idx="7">
                  <c:v>29</c:v>
                </c:pt>
                <c:pt idx="8">
                  <c:v>24</c:v>
                </c:pt>
                <c:pt idx="9">
                  <c:v>27</c:v>
                </c:pt>
              </c:numCache>
            </c:numRef>
          </c:val>
        </c:ser>
        <c:dLbls>
          <c:showLegendKey val="0"/>
          <c:showVal val="0"/>
          <c:showCatName val="0"/>
          <c:showSerName val="0"/>
          <c:showPercent val="0"/>
          <c:showBubbleSize val="0"/>
        </c:dLbls>
        <c:gapWidth val="219"/>
        <c:overlap val="-27"/>
        <c:axId val="827451776"/>
        <c:axId val="827447424"/>
      </c:barChart>
      <c:catAx>
        <c:axId val="82745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447424"/>
        <c:crosses val="autoZero"/>
        <c:auto val="1"/>
        <c:lblAlgn val="ctr"/>
        <c:lblOffset val="100"/>
        <c:noMultiLvlLbl val="0"/>
      </c:catAx>
      <c:valAx>
        <c:axId val="82744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451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Analysis Dashboard.xlsx]Sheet2!PivotTable10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92D050"/>
                </a:solidFill>
              </a:rPr>
              <a:t>Top 10 Customers</a:t>
            </a:r>
            <a:endParaRPr lang="en-US" sz="1600" b="1">
              <a:solidFill>
                <a:srgbClr val="92D050"/>
              </a:solidFill>
            </a:endParaRPr>
          </a:p>
        </c:rich>
      </c:tx>
      <c:layout>
        <c:manualLayout>
          <c:xMode val="edge"/>
          <c:yMode val="edge"/>
          <c:x val="0.43802777777777779"/>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Sheet2!$D$13:$D$33</c:f>
              <c:strCache>
                <c:ptCount val="20"/>
                <c:pt idx="0">
                  <c:v>Aisha Khan</c:v>
                </c:pt>
                <c:pt idx="1">
                  <c:v>Akash Mishra</c:v>
                </c:pt>
                <c:pt idx="2">
                  <c:v>Amit Sharma</c:v>
                </c:pt>
                <c:pt idx="3">
                  <c:v>Anjali Shah</c:v>
                </c:pt>
                <c:pt idx="4">
                  <c:v>Arjun Nair</c:v>
                </c:pt>
                <c:pt idx="5">
                  <c:v>Deepak Yadav</c:v>
                </c:pt>
                <c:pt idx="6">
                  <c:v>Karan Mehta</c:v>
                </c:pt>
                <c:pt idx="7">
                  <c:v>Kavya Rao</c:v>
                </c:pt>
                <c:pt idx="8">
                  <c:v>Meera Iyer</c:v>
                </c:pt>
                <c:pt idx="9">
                  <c:v>Neha Singh</c:v>
                </c:pt>
                <c:pt idx="10">
                  <c:v>Nitin Patil</c:v>
                </c:pt>
                <c:pt idx="11">
                  <c:v>Pooja Desai</c:v>
                </c:pt>
                <c:pt idx="12">
                  <c:v>Priya Patel</c:v>
                </c:pt>
                <c:pt idx="13">
                  <c:v>Rahul Verma</c:v>
                </c:pt>
                <c:pt idx="14">
                  <c:v>Riya Kapoor</c:v>
                </c:pt>
                <c:pt idx="15">
                  <c:v>Rohan Gupta</c:v>
                </c:pt>
                <c:pt idx="16">
                  <c:v>Saurabh Jain</c:v>
                </c:pt>
                <c:pt idx="17">
                  <c:v>Simran Kaur</c:v>
                </c:pt>
                <c:pt idx="18">
                  <c:v>Sneha Joshi</c:v>
                </c:pt>
                <c:pt idx="19">
                  <c:v>Vikas Kumar</c:v>
                </c:pt>
              </c:strCache>
            </c:strRef>
          </c:cat>
          <c:val>
            <c:numRef>
              <c:f>Sheet2!$E$13:$E$33</c:f>
              <c:numCache>
                <c:formatCode>General</c:formatCode>
                <c:ptCount val="20"/>
                <c:pt idx="0">
                  <c:v>94150</c:v>
                </c:pt>
                <c:pt idx="1">
                  <c:v>133600</c:v>
                </c:pt>
                <c:pt idx="2">
                  <c:v>101300</c:v>
                </c:pt>
                <c:pt idx="3">
                  <c:v>78450</c:v>
                </c:pt>
                <c:pt idx="4">
                  <c:v>62900</c:v>
                </c:pt>
                <c:pt idx="5">
                  <c:v>89800</c:v>
                </c:pt>
                <c:pt idx="6">
                  <c:v>112700</c:v>
                </c:pt>
                <c:pt idx="7">
                  <c:v>48100</c:v>
                </c:pt>
                <c:pt idx="8">
                  <c:v>61050</c:v>
                </c:pt>
                <c:pt idx="9">
                  <c:v>104000</c:v>
                </c:pt>
                <c:pt idx="10">
                  <c:v>132800</c:v>
                </c:pt>
                <c:pt idx="11">
                  <c:v>95100</c:v>
                </c:pt>
                <c:pt idx="12">
                  <c:v>104500</c:v>
                </c:pt>
                <c:pt idx="13">
                  <c:v>91600</c:v>
                </c:pt>
                <c:pt idx="14">
                  <c:v>143300</c:v>
                </c:pt>
                <c:pt idx="15">
                  <c:v>198000</c:v>
                </c:pt>
                <c:pt idx="16">
                  <c:v>74200</c:v>
                </c:pt>
                <c:pt idx="17">
                  <c:v>97100</c:v>
                </c:pt>
                <c:pt idx="18">
                  <c:v>168950</c:v>
                </c:pt>
                <c:pt idx="19">
                  <c:v>35450</c:v>
                </c:pt>
              </c:numCache>
            </c:numRef>
          </c:val>
        </c:ser>
        <c:dLbls>
          <c:dLblPos val="outEnd"/>
          <c:showLegendKey val="0"/>
          <c:showVal val="1"/>
          <c:showCatName val="0"/>
          <c:showSerName val="0"/>
          <c:showPercent val="0"/>
          <c:showBubbleSize val="0"/>
        </c:dLbls>
        <c:gapWidth val="150"/>
        <c:axId val="1066376896"/>
        <c:axId val="1161153280"/>
      </c:barChart>
      <c:catAx>
        <c:axId val="106637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53280"/>
        <c:crosses val="autoZero"/>
        <c:auto val="1"/>
        <c:lblAlgn val="ctr"/>
        <c:lblOffset val="100"/>
        <c:noMultiLvlLbl val="0"/>
      </c:catAx>
      <c:valAx>
        <c:axId val="1161153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76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533802</xdr:colOff>
      <xdr:row>0</xdr:row>
      <xdr:rowOff>79544</xdr:rowOff>
    </xdr:from>
    <xdr:to>
      <xdr:col>29</xdr:col>
      <xdr:colOff>73174</xdr:colOff>
      <xdr:row>4</xdr:row>
      <xdr:rowOff>18799</xdr:rowOff>
    </xdr:to>
    <xdr:sp macro="" textlink="">
      <xdr:nvSpPr>
        <xdr:cNvPr id="2" name="Rectangle 1">
          <a:extLst>
            <a:ext uri="{FF2B5EF4-FFF2-40B4-BE49-F238E27FC236}">
              <a16:creationId xmlns:a16="http://schemas.microsoft.com/office/drawing/2014/main" xmlns="" id="{70D8049B-3B90-0632-68C0-2FCA6BABA473}"/>
            </a:ext>
          </a:extLst>
        </xdr:cNvPr>
        <xdr:cNvSpPr/>
      </xdr:nvSpPr>
      <xdr:spPr>
        <a:xfrm>
          <a:off x="1741196" y="79544"/>
          <a:ext cx="15839196" cy="690523"/>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92927</xdr:colOff>
      <xdr:row>5</xdr:row>
      <xdr:rowOff>0</xdr:rowOff>
    </xdr:from>
    <xdr:to>
      <xdr:col>2</xdr:col>
      <xdr:colOff>418522</xdr:colOff>
      <xdr:row>46</xdr:row>
      <xdr:rowOff>144318</xdr:rowOff>
    </xdr:to>
    <xdr:sp macro="" textlink="">
      <xdr:nvSpPr>
        <xdr:cNvPr id="3" name="Rectangle 2">
          <a:extLst>
            <a:ext uri="{FF2B5EF4-FFF2-40B4-BE49-F238E27FC236}">
              <a16:creationId xmlns:a16="http://schemas.microsoft.com/office/drawing/2014/main" xmlns="" id="{50ACEAD4-E54F-4991-8809-F58D3B344EAF}"/>
            </a:ext>
          </a:extLst>
        </xdr:cNvPr>
        <xdr:cNvSpPr/>
      </xdr:nvSpPr>
      <xdr:spPr>
        <a:xfrm>
          <a:off x="92927" y="938068"/>
          <a:ext cx="1537868" cy="7836477"/>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3110</xdr:colOff>
      <xdr:row>5</xdr:row>
      <xdr:rowOff>23232</xdr:rowOff>
    </xdr:from>
    <xdr:to>
      <xdr:col>6</xdr:col>
      <xdr:colOff>273458</xdr:colOff>
      <xdr:row>9</xdr:row>
      <xdr:rowOff>42028</xdr:rowOff>
    </xdr:to>
    <xdr:sp macro="" textlink="">
      <xdr:nvSpPr>
        <xdr:cNvPr id="4" name="Rectangle 3">
          <a:extLst>
            <a:ext uri="{FF2B5EF4-FFF2-40B4-BE49-F238E27FC236}">
              <a16:creationId xmlns:a16="http://schemas.microsoft.com/office/drawing/2014/main" xmlns="" id="{2359A0D3-F794-459C-920E-90A2C34CC423}"/>
            </a:ext>
          </a:extLst>
        </xdr:cNvPr>
        <xdr:cNvSpPr/>
      </xdr:nvSpPr>
      <xdr:spPr>
        <a:xfrm>
          <a:off x="1814202" y="962317"/>
          <a:ext cx="2081439" cy="770063"/>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6</xdr:col>
      <xdr:colOff>447779</xdr:colOff>
      <xdr:row>5</xdr:row>
      <xdr:rowOff>34848</xdr:rowOff>
    </xdr:from>
    <xdr:to>
      <xdr:col>10</xdr:col>
      <xdr:colOff>114755</xdr:colOff>
      <xdr:row>9</xdr:row>
      <xdr:rowOff>53644</xdr:rowOff>
    </xdr:to>
    <xdr:sp macro="" textlink="">
      <xdr:nvSpPr>
        <xdr:cNvPr id="5" name="Rectangle 4">
          <a:extLst>
            <a:ext uri="{FF2B5EF4-FFF2-40B4-BE49-F238E27FC236}">
              <a16:creationId xmlns:a16="http://schemas.microsoft.com/office/drawing/2014/main" xmlns="" id="{2359A0D3-F794-459C-920E-90A2C34CC423}"/>
            </a:ext>
          </a:extLst>
        </xdr:cNvPr>
        <xdr:cNvSpPr/>
      </xdr:nvSpPr>
      <xdr:spPr>
        <a:xfrm>
          <a:off x="4069962" y="973933"/>
          <a:ext cx="2081765" cy="770063"/>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10</xdr:col>
      <xdr:colOff>315589</xdr:colOff>
      <xdr:row>5</xdr:row>
      <xdr:rowOff>34847</xdr:rowOff>
    </xdr:from>
    <xdr:to>
      <xdr:col>13</xdr:col>
      <xdr:colOff>586263</xdr:colOff>
      <xdr:row>9</xdr:row>
      <xdr:rowOff>53643</xdr:rowOff>
    </xdr:to>
    <xdr:sp macro="" textlink="">
      <xdr:nvSpPr>
        <xdr:cNvPr id="6" name="Rectangle 5">
          <a:extLst>
            <a:ext uri="{FF2B5EF4-FFF2-40B4-BE49-F238E27FC236}">
              <a16:creationId xmlns:a16="http://schemas.microsoft.com/office/drawing/2014/main" xmlns="" id="{2359A0D3-F794-459C-920E-90A2C34CC423}"/>
            </a:ext>
          </a:extLst>
        </xdr:cNvPr>
        <xdr:cNvSpPr/>
      </xdr:nvSpPr>
      <xdr:spPr>
        <a:xfrm>
          <a:off x="6352561" y="973932"/>
          <a:ext cx="2081765" cy="770063"/>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14</xdr:col>
      <xdr:colOff>189121</xdr:colOff>
      <xdr:row>5</xdr:row>
      <xdr:rowOff>46464</xdr:rowOff>
    </xdr:from>
    <xdr:to>
      <xdr:col>17</xdr:col>
      <xdr:colOff>459468</xdr:colOff>
      <xdr:row>9</xdr:row>
      <xdr:rowOff>65260</xdr:rowOff>
    </xdr:to>
    <xdr:sp macro="" textlink="">
      <xdr:nvSpPr>
        <xdr:cNvPr id="7" name="Rectangle 6">
          <a:extLst>
            <a:ext uri="{FF2B5EF4-FFF2-40B4-BE49-F238E27FC236}">
              <a16:creationId xmlns:a16="http://schemas.microsoft.com/office/drawing/2014/main" xmlns="" id="{2359A0D3-F794-459C-920E-90A2C34CC423}"/>
            </a:ext>
          </a:extLst>
        </xdr:cNvPr>
        <xdr:cNvSpPr/>
      </xdr:nvSpPr>
      <xdr:spPr>
        <a:xfrm>
          <a:off x="8640882" y="985549"/>
          <a:ext cx="2081438" cy="770063"/>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18</xdr:col>
      <xdr:colOff>41715</xdr:colOff>
      <xdr:row>5</xdr:row>
      <xdr:rowOff>11616</xdr:rowOff>
    </xdr:from>
    <xdr:to>
      <xdr:col>21</xdr:col>
      <xdr:colOff>312062</xdr:colOff>
      <xdr:row>9</xdr:row>
      <xdr:rowOff>30412</xdr:rowOff>
    </xdr:to>
    <xdr:sp macro="" textlink="">
      <xdr:nvSpPr>
        <xdr:cNvPr id="8" name="Rectangle 7">
          <a:extLst>
            <a:ext uri="{FF2B5EF4-FFF2-40B4-BE49-F238E27FC236}">
              <a16:creationId xmlns:a16="http://schemas.microsoft.com/office/drawing/2014/main" xmlns="" id="{2359A0D3-F794-459C-920E-90A2C34CC423}"/>
            </a:ext>
          </a:extLst>
        </xdr:cNvPr>
        <xdr:cNvSpPr/>
      </xdr:nvSpPr>
      <xdr:spPr>
        <a:xfrm>
          <a:off x="10908264" y="950701"/>
          <a:ext cx="2081439" cy="770063"/>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511097</xdr:colOff>
      <xdr:row>10</xdr:row>
      <xdr:rowOff>23232</xdr:rowOff>
    </xdr:from>
    <xdr:to>
      <xdr:col>9</xdr:col>
      <xdr:colOff>115108</xdr:colOff>
      <xdr:row>21</xdr:row>
      <xdr:rowOff>100082</xdr:rowOff>
    </xdr:to>
    <xdr:sp macro="" textlink="">
      <xdr:nvSpPr>
        <xdr:cNvPr id="9" name="Rectangle 8">
          <a:extLst>
            <a:ext uri="{FF2B5EF4-FFF2-40B4-BE49-F238E27FC236}">
              <a16:creationId xmlns:a16="http://schemas.microsoft.com/office/drawing/2014/main" xmlns="" id="{F87BC4B7-D334-41AC-B580-A9F925FF5171}"/>
            </a:ext>
          </a:extLst>
        </xdr:cNvPr>
        <xdr:cNvSpPr/>
      </xdr:nvSpPr>
      <xdr:spPr>
        <a:xfrm>
          <a:off x="1719146" y="1881769"/>
          <a:ext cx="3832182" cy="2121240"/>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220701</xdr:colOff>
      <xdr:row>10</xdr:row>
      <xdr:rowOff>34847</xdr:rowOff>
    </xdr:from>
    <xdr:to>
      <xdr:col>15</xdr:col>
      <xdr:colOff>428737</xdr:colOff>
      <xdr:row>21</xdr:row>
      <xdr:rowOff>111697</xdr:rowOff>
    </xdr:to>
    <xdr:sp macro="" textlink="">
      <xdr:nvSpPr>
        <xdr:cNvPr id="10" name="Rectangle 9">
          <a:extLst>
            <a:ext uri="{FF2B5EF4-FFF2-40B4-BE49-F238E27FC236}">
              <a16:creationId xmlns:a16="http://schemas.microsoft.com/office/drawing/2014/main" xmlns="" id="{F87BC4B7-D334-41AC-B580-A9F925FF5171}"/>
            </a:ext>
          </a:extLst>
        </xdr:cNvPr>
        <xdr:cNvSpPr/>
      </xdr:nvSpPr>
      <xdr:spPr>
        <a:xfrm>
          <a:off x="5656921" y="1893384"/>
          <a:ext cx="3832182" cy="2121240"/>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545945</xdr:colOff>
      <xdr:row>10</xdr:row>
      <xdr:rowOff>34848</xdr:rowOff>
    </xdr:from>
    <xdr:to>
      <xdr:col>22</xdr:col>
      <xdr:colOff>149956</xdr:colOff>
      <xdr:row>21</xdr:row>
      <xdr:rowOff>111698</xdr:rowOff>
    </xdr:to>
    <xdr:sp macro="" textlink="">
      <xdr:nvSpPr>
        <xdr:cNvPr id="11" name="Rectangle 10">
          <a:extLst>
            <a:ext uri="{FF2B5EF4-FFF2-40B4-BE49-F238E27FC236}">
              <a16:creationId xmlns:a16="http://schemas.microsoft.com/office/drawing/2014/main" xmlns="" id="{F87BC4B7-D334-41AC-B580-A9F925FF5171}"/>
            </a:ext>
          </a:extLst>
        </xdr:cNvPr>
        <xdr:cNvSpPr/>
      </xdr:nvSpPr>
      <xdr:spPr>
        <a:xfrm>
          <a:off x="9606311" y="1893385"/>
          <a:ext cx="3832182" cy="2121240"/>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511097</xdr:colOff>
      <xdr:row>22</xdr:row>
      <xdr:rowOff>131027</xdr:rowOff>
    </xdr:from>
    <xdr:to>
      <xdr:col>9</xdr:col>
      <xdr:colOff>25400</xdr:colOff>
      <xdr:row>34</xdr:row>
      <xdr:rowOff>17376</xdr:rowOff>
    </xdr:to>
    <xdr:sp macro="" textlink="">
      <xdr:nvSpPr>
        <xdr:cNvPr id="12" name="Rectangle 11">
          <a:extLst>
            <a:ext uri="{FF2B5EF4-FFF2-40B4-BE49-F238E27FC236}">
              <a16:creationId xmlns:a16="http://schemas.microsoft.com/office/drawing/2014/main" xmlns="" id="{F87BC4B7-D334-41AC-B580-A9F925FF5171}"/>
            </a:ext>
          </a:extLst>
        </xdr:cNvPr>
        <xdr:cNvSpPr/>
      </xdr:nvSpPr>
      <xdr:spPr>
        <a:xfrm>
          <a:off x="1730297" y="4322027"/>
          <a:ext cx="3781503" cy="2172349"/>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186628</xdr:colOff>
      <xdr:row>22</xdr:row>
      <xdr:rowOff>116159</xdr:rowOff>
    </xdr:from>
    <xdr:to>
      <xdr:col>15</xdr:col>
      <xdr:colOff>431800</xdr:colOff>
      <xdr:row>34</xdr:row>
      <xdr:rowOff>7155</xdr:rowOff>
    </xdr:to>
    <xdr:sp macro="" textlink="">
      <xdr:nvSpPr>
        <xdr:cNvPr id="13" name="Rectangle 12">
          <a:extLst>
            <a:ext uri="{FF2B5EF4-FFF2-40B4-BE49-F238E27FC236}">
              <a16:creationId xmlns:a16="http://schemas.microsoft.com/office/drawing/2014/main" xmlns="" id="{F87BC4B7-D334-41AC-B580-A9F925FF5171}"/>
            </a:ext>
          </a:extLst>
        </xdr:cNvPr>
        <xdr:cNvSpPr/>
      </xdr:nvSpPr>
      <xdr:spPr>
        <a:xfrm>
          <a:off x="5673028" y="4307159"/>
          <a:ext cx="3902772" cy="2176996"/>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584046</xdr:colOff>
      <xdr:row>22</xdr:row>
      <xdr:rowOff>79142</xdr:rowOff>
    </xdr:from>
    <xdr:to>
      <xdr:col>22</xdr:col>
      <xdr:colOff>188057</xdr:colOff>
      <xdr:row>33</xdr:row>
      <xdr:rowOff>155991</xdr:rowOff>
    </xdr:to>
    <xdr:sp macro="" textlink="">
      <xdr:nvSpPr>
        <xdr:cNvPr id="14" name="Rectangle 13">
          <a:extLst>
            <a:ext uri="{FF2B5EF4-FFF2-40B4-BE49-F238E27FC236}">
              <a16:creationId xmlns:a16="http://schemas.microsoft.com/office/drawing/2014/main" xmlns="" id="{F87BC4B7-D334-41AC-B580-A9F925FF5171}"/>
            </a:ext>
          </a:extLst>
        </xdr:cNvPr>
        <xdr:cNvSpPr/>
      </xdr:nvSpPr>
      <xdr:spPr>
        <a:xfrm>
          <a:off x="9728046" y="4270142"/>
          <a:ext cx="3871211" cy="2172349"/>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269947</xdr:colOff>
      <xdr:row>5</xdr:row>
      <xdr:rowOff>34848</xdr:rowOff>
    </xdr:from>
    <xdr:to>
      <xdr:col>6</xdr:col>
      <xdr:colOff>165848</xdr:colOff>
      <xdr:row>7</xdr:row>
      <xdr:rowOff>4363</xdr:rowOff>
    </xdr:to>
    <xdr:sp macro="" textlink="">
      <xdr:nvSpPr>
        <xdr:cNvPr id="16" name="TextBox 15">
          <a:extLst>
            <a:ext uri="{FF2B5EF4-FFF2-40B4-BE49-F238E27FC236}">
              <a16:creationId xmlns:a16="http://schemas.microsoft.com/office/drawing/2014/main" xmlns="" id="{B0A483C8-CE20-957D-C2CF-16C59BBA98D4}"/>
            </a:ext>
          </a:extLst>
        </xdr:cNvPr>
        <xdr:cNvSpPr txBox="1"/>
      </xdr:nvSpPr>
      <xdr:spPr>
        <a:xfrm>
          <a:off x="2081039" y="973933"/>
          <a:ext cx="1706992" cy="345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Sales </a:t>
          </a:r>
          <a:endParaRPr lang="en-IN" sz="1400" b="1">
            <a:solidFill>
              <a:schemeClr val="bg1">
                <a:lumMod val="50000"/>
              </a:schemeClr>
            </a:solidFill>
          </a:endParaRPr>
        </a:p>
      </xdr:txBody>
    </xdr:sp>
    <xdr:clientData/>
  </xdr:twoCellAnchor>
  <xdr:twoCellAnchor>
    <xdr:from>
      <xdr:col>7</xdr:col>
      <xdr:colOff>105034</xdr:colOff>
      <xdr:row>5</xdr:row>
      <xdr:rowOff>46464</xdr:rowOff>
    </xdr:from>
    <xdr:to>
      <xdr:col>10</xdr:col>
      <xdr:colOff>934</xdr:colOff>
      <xdr:row>7</xdr:row>
      <xdr:rowOff>15979</xdr:rowOff>
    </xdr:to>
    <xdr:sp macro="" textlink="">
      <xdr:nvSpPr>
        <xdr:cNvPr id="17" name="TextBox 16">
          <a:extLst>
            <a:ext uri="{FF2B5EF4-FFF2-40B4-BE49-F238E27FC236}">
              <a16:creationId xmlns:a16="http://schemas.microsoft.com/office/drawing/2014/main" xmlns="" id="{B0A483C8-CE20-957D-C2CF-16C59BBA98D4}"/>
            </a:ext>
          </a:extLst>
        </xdr:cNvPr>
        <xdr:cNvSpPr txBox="1"/>
      </xdr:nvSpPr>
      <xdr:spPr>
        <a:xfrm>
          <a:off x="4330914" y="985549"/>
          <a:ext cx="1706992" cy="345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Orders </a:t>
          </a:r>
          <a:endParaRPr lang="en-IN" sz="1400" b="1">
            <a:solidFill>
              <a:schemeClr val="bg1">
                <a:lumMod val="50000"/>
              </a:schemeClr>
            </a:solidFill>
          </a:endParaRPr>
        </a:p>
      </xdr:txBody>
    </xdr:sp>
    <xdr:clientData/>
  </xdr:twoCellAnchor>
  <xdr:twoCellAnchor>
    <xdr:from>
      <xdr:col>10</xdr:col>
      <xdr:colOff>557725</xdr:colOff>
      <xdr:row>5</xdr:row>
      <xdr:rowOff>48264</xdr:rowOff>
    </xdr:from>
    <xdr:to>
      <xdr:col>13</xdr:col>
      <xdr:colOff>453626</xdr:colOff>
      <xdr:row>7</xdr:row>
      <xdr:rowOff>17779</xdr:rowOff>
    </xdr:to>
    <xdr:sp macro="" textlink="">
      <xdr:nvSpPr>
        <xdr:cNvPr id="18" name="TextBox 17">
          <a:extLst>
            <a:ext uri="{FF2B5EF4-FFF2-40B4-BE49-F238E27FC236}">
              <a16:creationId xmlns:a16="http://schemas.microsoft.com/office/drawing/2014/main" xmlns="" id="{B0A483C8-CE20-957D-C2CF-16C59BBA98D4}"/>
            </a:ext>
          </a:extLst>
        </xdr:cNvPr>
        <xdr:cNvSpPr txBox="1"/>
      </xdr:nvSpPr>
      <xdr:spPr>
        <a:xfrm>
          <a:off x="6594697" y="987349"/>
          <a:ext cx="1706992" cy="345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New Customers</a:t>
          </a:r>
        </a:p>
      </xdr:txBody>
    </xdr:sp>
    <xdr:clientData/>
  </xdr:twoCellAnchor>
  <xdr:twoCellAnchor>
    <xdr:from>
      <xdr:col>14</xdr:col>
      <xdr:colOff>445329</xdr:colOff>
      <xdr:row>5</xdr:row>
      <xdr:rowOff>34848</xdr:rowOff>
    </xdr:from>
    <xdr:to>
      <xdr:col>17</xdr:col>
      <xdr:colOff>457388</xdr:colOff>
      <xdr:row>7</xdr:row>
      <xdr:rowOff>4363</xdr:rowOff>
    </xdr:to>
    <xdr:sp macro="" textlink="">
      <xdr:nvSpPr>
        <xdr:cNvPr id="19" name="TextBox 18">
          <a:extLst>
            <a:ext uri="{FF2B5EF4-FFF2-40B4-BE49-F238E27FC236}">
              <a16:creationId xmlns:a16="http://schemas.microsoft.com/office/drawing/2014/main" xmlns="" id="{B0A483C8-CE20-957D-C2CF-16C59BBA98D4}"/>
            </a:ext>
          </a:extLst>
        </xdr:cNvPr>
        <xdr:cNvSpPr txBox="1"/>
      </xdr:nvSpPr>
      <xdr:spPr>
        <a:xfrm>
          <a:off x="8897090" y="973933"/>
          <a:ext cx="1823150" cy="345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Repeat Customers</a:t>
          </a:r>
        </a:p>
      </xdr:txBody>
    </xdr:sp>
    <xdr:clientData/>
  </xdr:twoCellAnchor>
  <xdr:twoCellAnchor>
    <xdr:from>
      <xdr:col>17</xdr:col>
      <xdr:colOff>598952</xdr:colOff>
      <xdr:row>5</xdr:row>
      <xdr:rowOff>31249</xdr:rowOff>
    </xdr:from>
    <xdr:to>
      <xdr:col>21</xdr:col>
      <xdr:colOff>424715</xdr:colOff>
      <xdr:row>6</xdr:row>
      <xdr:rowOff>176964</xdr:rowOff>
    </xdr:to>
    <xdr:sp macro="" textlink="">
      <xdr:nvSpPr>
        <xdr:cNvPr id="20" name="TextBox 19">
          <a:extLst>
            <a:ext uri="{FF2B5EF4-FFF2-40B4-BE49-F238E27FC236}">
              <a16:creationId xmlns:a16="http://schemas.microsoft.com/office/drawing/2014/main" xmlns="" id="{B0A483C8-CE20-957D-C2CF-16C59BBA98D4}"/>
            </a:ext>
          </a:extLst>
        </xdr:cNvPr>
        <xdr:cNvSpPr txBox="1"/>
      </xdr:nvSpPr>
      <xdr:spPr>
        <a:xfrm>
          <a:off x="10861804" y="970334"/>
          <a:ext cx="2240552" cy="333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Unique Customers</a:t>
          </a:r>
          <a:endParaRPr lang="en-IN" sz="1400" b="1">
            <a:solidFill>
              <a:schemeClr val="bg1">
                <a:lumMod val="50000"/>
              </a:schemeClr>
            </a:solidFill>
          </a:endParaRPr>
        </a:p>
      </xdr:txBody>
    </xdr:sp>
    <xdr:clientData/>
  </xdr:twoCellAnchor>
  <xdr:twoCellAnchor>
    <xdr:from>
      <xdr:col>3</xdr:col>
      <xdr:colOff>269946</xdr:colOff>
      <xdr:row>6</xdr:row>
      <xdr:rowOff>149207</xdr:rowOff>
    </xdr:from>
    <xdr:to>
      <xdr:col>6</xdr:col>
      <xdr:colOff>165847</xdr:colOff>
      <xdr:row>8</xdr:row>
      <xdr:rowOff>118723</xdr:rowOff>
    </xdr:to>
    <xdr:sp macro="" textlink="">
      <xdr:nvSpPr>
        <xdr:cNvPr id="22" name="TextBox 21">
          <a:extLst>
            <a:ext uri="{FF2B5EF4-FFF2-40B4-BE49-F238E27FC236}">
              <a16:creationId xmlns:a16="http://schemas.microsoft.com/office/drawing/2014/main" xmlns="" id="{B0A483C8-CE20-957D-C2CF-16C59BBA98D4}"/>
            </a:ext>
          </a:extLst>
        </xdr:cNvPr>
        <xdr:cNvSpPr txBox="1"/>
      </xdr:nvSpPr>
      <xdr:spPr>
        <a:xfrm>
          <a:off x="2081038" y="1276108"/>
          <a:ext cx="1706992" cy="34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7030A0"/>
              </a:solidFill>
            </a:rPr>
            <a:t>2027050</a:t>
          </a:r>
        </a:p>
      </xdr:txBody>
    </xdr:sp>
    <xdr:clientData/>
  </xdr:twoCellAnchor>
  <xdr:twoCellAnchor>
    <xdr:from>
      <xdr:col>7</xdr:col>
      <xdr:colOff>97017</xdr:colOff>
      <xdr:row>6</xdr:row>
      <xdr:rowOff>147406</xdr:rowOff>
    </xdr:from>
    <xdr:to>
      <xdr:col>9</xdr:col>
      <xdr:colOff>596614</xdr:colOff>
      <xdr:row>8</xdr:row>
      <xdr:rowOff>116922</xdr:rowOff>
    </xdr:to>
    <xdr:sp macro="" textlink="">
      <xdr:nvSpPr>
        <xdr:cNvPr id="23" name="TextBox 22">
          <a:extLst>
            <a:ext uri="{FF2B5EF4-FFF2-40B4-BE49-F238E27FC236}">
              <a16:creationId xmlns:a16="http://schemas.microsoft.com/office/drawing/2014/main" xmlns="" id="{B0A483C8-CE20-957D-C2CF-16C59BBA98D4}"/>
            </a:ext>
          </a:extLst>
        </xdr:cNvPr>
        <xdr:cNvSpPr txBox="1"/>
      </xdr:nvSpPr>
      <xdr:spPr>
        <a:xfrm>
          <a:off x="4322897" y="1274307"/>
          <a:ext cx="1706992" cy="34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7030A0"/>
              </a:solidFill>
            </a:rPr>
            <a:t>500</a:t>
          </a:r>
        </a:p>
      </xdr:txBody>
    </xdr:sp>
    <xdr:clientData/>
  </xdr:twoCellAnchor>
  <xdr:twoCellAnchor>
    <xdr:from>
      <xdr:col>10</xdr:col>
      <xdr:colOff>505862</xdr:colOff>
      <xdr:row>6</xdr:row>
      <xdr:rowOff>112559</xdr:rowOff>
    </xdr:from>
    <xdr:to>
      <xdr:col>13</xdr:col>
      <xdr:colOff>401763</xdr:colOff>
      <xdr:row>8</xdr:row>
      <xdr:rowOff>82075</xdr:rowOff>
    </xdr:to>
    <xdr:sp macro="" textlink="">
      <xdr:nvSpPr>
        <xdr:cNvPr id="24" name="TextBox 23">
          <a:extLst>
            <a:ext uri="{FF2B5EF4-FFF2-40B4-BE49-F238E27FC236}">
              <a16:creationId xmlns:a16="http://schemas.microsoft.com/office/drawing/2014/main" xmlns="" id="{B0A483C8-CE20-957D-C2CF-16C59BBA98D4}"/>
            </a:ext>
          </a:extLst>
        </xdr:cNvPr>
        <xdr:cNvSpPr txBox="1"/>
      </xdr:nvSpPr>
      <xdr:spPr>
        <a:xfrm>
          <a:off x="6542834" y="1239460"/>
          <a:ext cx="1706992" cy="34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7030A0"/>
              </a:solidFill>
            </a:rPr>
            <a:t>3</a:t>
          </a:r>
        </a:p>
      </xdr:txBody>
    </xdr:sp>
    <xdr:clientData/>
  </xdr:twoCellAnchor>
  <xdr:twoCellAnchor>
    <xdr:from>
      <xdr:col>14</xdr:col>
      <xdr:colOff>463163</xdr:colOff>
      <xdr:row>6</xdr:row>
      <xdr:rowOff>120576</xdr:rowOff>
    </xdr:from>
    <xdr:to>
      <xdr:col>17</xdr:col>
      <xdr:colOff>359063</xdr:colOff>
      <xdr:row>8</xdr:row>
      <xdr:rowOff>90092</xdr:rowOff>
    </xdr:to>
    <xdr:sp macro="" textlink="">
      <xdr:nvSpPr>
        <xdr:cNvPr id="25" name="TextBox 24">
          <a:extLst>
            <a:ext uri="{FF2B5EF4-FFF2-40B4-BE49-F238E27FC236}">
              <a16:creationId xmlns:a16="http://schemas.microsoft.com/office/drawing/2014/main" xmlns="" id="{B0A483C8-CE20-957D-C2CF-16C59BBA98D4}"/>
            </a:ext>
          </a:extLst>
        </xdr:cNvPr>
        <xdr:cNvSpPr txBox="1"/>
      </xdr:nvSpPr>
      <xdr:spPr>
        <a:xfrm>
          <a:off x="8914924" y="1247477"/>
          <a:ext cx="1706991" cy="34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7030A0"/>
              </a:solidFill>
            </a:rPr>
            <a:t>95</a:t>
          </a:r>
        </a:p>
      </xdr:txBody>
    </xdr:sp>
    <xdr:clientData/>
  </xdr:twoCellAnchor>
  <xdr:twoCellAnchor>
    <xdr:from>
      <xdr:col>18</xdr:col>
      <xdr:colOff>237388</xdr:colOff>
      <xdr:row>6</xdr:row>
      <xdr:rowOff>110760</xdr:rowOff>
    </xdr:from>
    <xdr:to>
      <xdr:col>21</xdr:col>
      <xdr:colOff>133289</xdr:colOff>
      <xdr:row>8</xdr:row>
      <xdr:rowOff>80276</xdr:rowOff>
    </xdr:to>
    <xdr:sp macro="" textlink="">
      <xdr:nvSpPr>
        <xdr:cNvPr id="26" name="TextBox 25">
          <a:extLst>
            <a:ext uri="{FF2B5EF4-FFF2-40B4-BE49-F238E27FC236}">
              <a16:creationId xmlns:a16="http://schemas.microsoft.com/office/drawing/2014/main" xmlns="" id="{B0A483C8-CE20-957D-C2CF-16C59BBA98D4}"/>
            </a:ext>
          </a:extLst>
        </xdr:cNvPr>
        <xdr:cNvSpPr txBox="1"/>
      </xdr:nvSpPr>
      <xdr:spPr>
        <a:xfrm>
          <a:off x="11103937" y="1237661"/>
          <a:ext cx="1706993" cy="34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7030A0"/>
              </a:solidFill>
            </a:rPr>
            <a:t>98</a:t>
          </a:r>
        </a:p>
      </xdr:txBody>
    </xdr:sp>
    <xdr:clientData/>
  </xdr:twoCellAnchor>
  <xdr:twoCellAnchor>
    <xdr:from>
      <xdr:col>2</xdr:col>
      <xdr:colOff>499481</xdr:colOff>
      <xdr:row>9</xdr:row>
      <xdr:rowOff>177801</xdr:rowOff>
    </xdr:from>
    <xdr:to>
      <xdr:col>9</xdr:col>
      <xdr:colOff>129886</xdr:colOff>
      <xdr:row>21</xdr:row>
      <xdr:rowOff>115455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139700</xdr:colOff>
      <xdr:row>0</xdr:row>
      <xdr:rowOff>63500</xdr:rowOff>
    </xdr:from>
    <xdr:to>
      <xdr:col>24</xdr:col>
      <xdr:colOff>355600</xdr:colOff>
      <xdr:row>3</xdr:row>
      <xdr:rowOff>177800</xdr:rowOff>
    </xdr:to>
    <xdr:sp macro="" textlink="">
      <xdr:nvSpPr>
        <xdr:cNvPr id="28" name="TextBox 27">
          <a:extLst>
            <a:ext uri="{FF2B5EF4-FFF2-40B4-BE49-F238E27FC236}">
              <a16:creationId xmlns:a16="http://schemas.microsoft.com/office/drawing/2014/main" xmlns="" id="{65D623E0-E69A-13E8-3CC8-C2856CCB8B3F}"/>
            </a:ext>
          </a:extLst>
        </xdr:cNvPr>
        <xdr:cNvSpPr txBox="1"/>
      </xdr:nvSpPr>
      <xdr:spPr>
        <a:xfrm>
          <a:off x="1968500" y="63500"/>
          <a:ext cx="130175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solidFill>
                <a:schemeClr val="bg1"/>
              </a:solidFill>
            </a:rPr>
            <a:t>                                  E-Commerce Customer Analysis Dashboard</a:t>
          </a:r>
        </a:p>
      </xdr:txBody>
    </xdr:sp>
    <xdr:clientData/>
  </xdr:twoCellAnchor>
  <xdr:twoCellAnchor>
    <xdr:from>
      <xdr:col>9</xdr:col>
      <xdr:colOff>215900</xdr:colOff>
      <xdr:row>10</xdr:row>
      <xdr:rowOff>34846</xdr:rowOff>
    </xdr:from>
    <xdr:to>
      <xdr:col>15</xdr:col>
      <xdr:colOff>457200</xdr:colOff>
      <xdr:row>21</xdr:row>
      <xdr:rowOff>127773</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545946</xdr:colOff>
      <xdr:row>10</xdr:row>
      <xdr:rowOff>11614</xdr:rowOff>
    </xdr:from>
    <xdr:to>
      <xdr:col>22</xdr:col>
      <xdr:colOff>228600</xdr:colOff>
      <xdr:row>21</xdr:row>
      <xdr:rowOff>127773</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511097</xdr:colOff>
      <xdr:row>22</xdr:row>
      <xdr:rowOff>104542</xdr:rowOff>
    </xdr:from>
    <xdr:to>
      <xdr:col>9</xdr:col>
      <xdr:colOff>38100</xdr:colOff>
      <xdr:row>34</xdr:row>
      <xdr:rowOff>23231</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147444</xdr:colOff>
      <xdr:row>22</xdr:row>
      <xdr:rowOff>118328</xdr:rowOff>
    </xdr:from>
    <xdr:to>
      <xdr:col>15</xdr:col>
      <xdr:colOff>457200</xdr:colOff>
      <xdr:row>34</xdr:row>
      <xdr:rowOff>25400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559728</xdr:colOff>
      <xdr:row>22</xdr:row>
      <xdr:rowOff>42127</xdr:rowOff>
    </xdr:from>
    <xdr:to>
      <xdr:col>22</xdr:col>
      <xdr:colOff>254000</xdr:colOff>
      <xdr:row>34</xdr:row>
      <xdr:rowOff>12700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342899</xdr:colOff>
      <xdr:row>9</xdr:row>
      <xdr:rowOff>129886</xdr:rowOff>
    </xdr:from>
    <xdr:to>
      <xdr:col>29</xdr:col>
      <xdr:colOff>86589</xdr:colOff>
      <xdr:row>21</xdr:row>
      <xdr:rowOff>88900</xdr:rowOff>
    </xdr:to>
    <xdr:sp macro="" textlink="">
      <xdr:nvSpPr>
        <xdr:cNvPr id="37" name="Rectangle 36">
          <a:extLst>
            <a:ext uri="{FF2B5EF4-FFF2-40B4-BE49-F238E27FC236}">
              <a16:creationId xmlns:a16="http://schemas.microsoft.com/office/drawing/2014/main" xmlns="" id="{F87BC4B7-D334-41AC-B580-A9F925FF5171}"/>
            </a:ext>
          </a:extLst>
        </xdr:cNvPr>
        <xdr:cNvSpPr/>
      </xdr:nvSpPr>
      <xdr:spPr>
        <a:xfrm>
          <a:off x="13677899" y="1818409"/>
          <a:ext cx="3986645" cy="2210377"/>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rgbClr val="0070C0"/>
            </a:solidFill>
          </a:endParaRPr>
        </a:p>
      </xdr:txBody>
    </xdr:sp>
    <xdr:clientData/>
  </xdr:twoCellAnchor>
  <xdr:twoCellAnchor>
    <xdr:from>
      <xdr:col>22</xdr:col>
      <xdr:colOff>411154</xdr:colOff>
      <xdr:row>22</xdr:row>
      <xdr:rowOff>28388</xdr:rowOff>
    </xdr:from>
    <xdr:to>
      <xdr:col>29</xdr:col>
      <xdr:colOff>15166</xdr:colOff>
      <xdr:row>33</xdr:row>
      <xdr:rowOff>108972</xdr:rowOff>
    </xdr:to>
    <xdr:sp macro="" textlink="">
      <xdr:nvSpPr>
        <xdr:cNvPr id="38" name="Rectangle 37">
          <a:extLst>
            <a:ext uri="{FF2B5EF4-FFF2-40B4-BE49-F238E27FC236}">
              <a16:creationId xmlns:a16="http://schemas.microsoft.com/office/drawing/2014/main" xmlns="" id="{F87BC4B7-D334-41AC-B580-A9F925FF5171}"/>
            </a:ext>
          </a:extLst>
        </xdr:cNvPr>
        <xdr:cNvSpPr/>
      </xdr:nvSpPr>
      <xdr:spPr>
        <a:xfrm>
          <a:off x="13746154" y="4155888"/>
          <a:ext cx="3846967" cy="2144334"/>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22</xdr:col>
      <xdr:colOff>409036</xdr:colOff>
      <xdr:row>22</xdr:row>
      <xdr:rowOff>14432</xdr:rowOff>
    </xdr:from>
    <xdr:to>
      <xdr:col>29</xdr:col>
      <xdr:colOff>190499</xdr:colOff>
      <xdr:row>34</xdr:row>
      <xdr:rowOff>4618</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519546</xdr:colOff>
      <xdr:row>35</xdr:row>
      <xdr:rowOff>57728</xdr:rowOff>
    </xdr:from>
    <xdr:to>
      <xdr:col>9</xdr:col>
      <xdr:colOff>72159</xdr:colOff>
      <xdr:row>46</xdr:row>
      <xdr:rowOff>134578</xdr:rowOff>
    </xdr:to>
    <xdr:sp macro="" textlink="">
      <xdr:nvSpPr>
        <xdr:cNvPr id="41" name="Rectangle 40">
          <a:extLst>
            <a:ext uri="{FF2B5EF4-FFF2-40B4-BE49-F238E27FC236}">
              <a16:creationId xmlns:a16="http://schemas.microsoft.com/office/drawing/2014/main" xmlns="" id="{F87BC4B7-D334-41AC-B580-A9F925FF5171}"/>
            </a:ext>
          </a:extLst>
        </xdr:cNvPr>
        <xdr:cNvSpPr/>
      </xdr:nvSpPr>
      <xdr:spPr>
        <a:xfrm>
          <a:off x="1731819" y="6624205"/>
          <a:ext cx="3795567" cy="2140600"/>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230909</xdr:colOff>
      <xdr:row>35</xdr:row>
      <xdr:rowOff>72160</xdr:rowOff>
    </xdr:from>
    <xdr:to>
      <xdr:col>15</xdr:col>
      <xdr:colOff>441056</xdr:colOff>
      <xdr:row>46</xdr:row>
      <xdr:rowOff>149010</xdr:rowOff>
    </xdr:to>
    <xdr:sp macro="" textlink="">
      <xdr:nvSpPr>
        <xdr:cNvPr id="42" name="Rectangle 41">
          <a:extLst>
            <a:ext uri="{FF2B5EF4-FFF2-40B4-BE49-F238E27FC236}">
              <a16:creationId xmlns:a16="http://schemas.microsoft.com/office/drawing/2014/main" xmlns="" id="{F87BC4B7-D334-41AC-B580-A9F925FF5171}"/>
            </a:ext>
          </a:extLst>
        </xdr:cNvPr>
        <xdr:cNvSpPr/>
      </xdr:nvSpPr>
      <xdr:spPr>
        <a:xfrm>
          <a:off x="5686136" y="6638637"/>
          <a:ext cx="3846965" cy="2140600"/>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216476</xdr:colOff>
      <xdr:row>35</xdr:row>
      <xdr:rowOff>0</xdr:rowOff>
    </xdr:from>
    <xdr:to>
      <xdr:col>15</xdr:col>
      <xdr:colOff>476249</xdr:colOff>
      <xdr:row>47</xdr:row>
      <xdr:rowOff>0</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505113</xdr:colOff>
      <xdr:row>35</xdr:row>
      <xdr:rowOff>0</xdr:rowOff>
    </xdr:from>
    <xdr:to>
      <xdr:col>9</xdr:col>
      <xdr:colOff>101022</xdr:colOff>
      <xdr:row>46</xdr:row>
      <xdr:rowOff>129887</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86591</xdr:colOff>
      <xdr:row>4</xdr:row>
      <xdr:rowOff>170635</xdr:rowOff>
    </xdr:from>
    <xdr:to>
      <xdr:col>2</xdr:col>
      <xdr:colOff>447386</xdr:colOff>
      <xdr:row>9</xdr:row>
      <xdr:rowOff>70037</xdr:rowOff>
    </xdr:to>
    <mc:AlternateContent xmlns:mc="http://schemas.openxmlformats.org/markup-compatibility/2006" xmlns:a14="http://schemas.microsoft.com/office/drawing/2010/main">
      <mc:Choice Requires="a14">
        <xdr:graphicFrame macro="">
          <xdr:nvGraphicFramePr>
            <xdr:cNvPr id="51"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6591" y="932635"/>
              <a:ext cx="1579995" cy="851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106934</xdr:colOff>
      <xdr:row>9</xdr:row>
      <xdr:rowOff>171059</xdr:rowOff>
    </xdr:from>
    <xdr:to>
      <xdr:col>2</xdr:col>
      <xdr:colOff>418098</xdr:colOff>
      <xdr:row>20</xdr:row>
      <xdr:rowOff>84468</xdr:rowOff>
    </xdr:to>
    <mc:AlternateContent xmlns:mc="http://schemas.openxmlformats.org/markup-compatibility/2006" xmlns:a14="http://schemas.microsoft.com/office/drawing/2010/main">
      <mc:Choice Requires="a14">
        <xdr:graphicFrame macro="">
          <xdr:nvGraphicFramePr>
            <xdr:cNvPr id="43"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6934" y="1885559"/>
              <a:ext cx="1530364" cy="2008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72584</xdr:colOff>
      <xdr:row>20</xdr:row>
      <xdr:rowOff>172756</xdr:rowOff>
    </xdr:from>
    <xdr:to>
      <xdr:col>2</xdr:col>
      <xdr:colOff>404514</xdr:colOff>
      <xdr:row>30</xdr:row>
      <xdr:rowOff>14007</xdr:rowOff>
    </xdr:to>
    <mc:AlternateContent xmlns:mc="http://schemas.openxmlformats.org/markup-compatibility/2006" xmlns:a14="http://schemas.microsoft.com/office/drawing/2010/main">
      <mc:Choice Requires="a14">
        <xdr:graphicFrame macro="">
          <xdr:nvGraphicFramePr>
            <xdr:cNvPr id="46"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2584" y="3982756"/>
              <a:ext cx="1551130" cy="1746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126354</xdr:colOff>
      <xdr:row>30</xdr:row>
      <xdr:rowOff>131637</xdr:rowOff>
    </xdr:from>
    <xdr:to>
      <xdr:col>2</xdr:col>
      <xdr:colOff>414969</xdr:colOff>
      <xdr:row>43</xdr:row>
      <xdr:rowOff>1749</xdr:rowOff>
    </xdr:to>
    <mc:AlternateContent xmlns:mc="http://schemas.openxmlformats.org/markup-compatibility/2006" xmlns:a14="http://schemas.microsoft.com/office/drawing/2010/main">
      <mc:Choice Requires="a14">
        <xdr:graphicFrame macro="">
          <xdr:nvGraphicFramePr>
            <xdr:cNvPr id="47"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6354" y="5846637"/>
              <a:ext cx="1507815" cy="2346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92928</xdr:colOff>
      <xdr:row>43</xdr:row>
      <xdr:rowOff>83620</xdr:rowOff>
    </xdr:from>
    <xdr:to>
      <xdr:col>2</xdr:col>
      <xdr:colOff>408215</xdr:colOff>
      <xdr:row>46</xdr:row>
      <xdr:rowOff>140075</xdr:rowOff>
    </xdr:to>
    <mc:AlternateContent xmlns:mc="http://schemas.openxmlformats.org/markup-compatibility/2006" xmlns:a14="http://schemas.microsoft.com/office/drawing/2010/main">
      <mc:Choice Requires="a14">
        <xdr:graphicFrame macro="">
          <xdr:nvGraphicFramePr>
            <xdr:cNvPr id="48"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2928" y="8275120"/>
              <a:ext cx="1534487" cy="627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509780</xdr:colOff>
      <xdr:row>5</xdr:row>
      <xdr:rowOff>13415</xdr:rowOff>
    </xdr:from>
    <xdr:to>
      <xdr:col>25</xdr:col>
      <xdr:colOff>176430</xdr:colOff>
      <xdr:row>9</xdr:row>
      <xdr:rowOff>32211</xdr:rowOff>
    </xdr:to>
    <xdr:sp macro="" textlink="">
      <xdr:nvSpPr>
        <xdr:cNvPr id="49" name="Rectangle 48">
          <a:extLst>
            <a:ext uri="{FF2B5EF4-FFF2-40B4-BE49-F238E27FC236}">
              <a16:creationId xmlns:a16="http://schemas.microsoft.com/office/drawing/2014/main" xmlns="" id="{2359A0D3-F794-459C-920E-90A2C34CC423}"/>
            </a:ext>
          </a:extLst>
        </xdr:cNvPr>
        <xdr:cNvSpPr/>
      </xdr:nvSpPr>
      <xdr:spPr>
        <a:xfrm>
          <a:off x="13187421" y="952500"/>
          <a:ext cx="2081439" cy="770063"/>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25</xdr:col>
      <xdr:colOff>402465</xdr:colOff>
      <xdr:row>5</xdr:row>
      <xdr:rowOff>-1</xdr:rowOff>
    </xdr:from>
    <xdr:to>
      <xdr:col>29</xdr:col>
      <xdr:colOff>69116</xdr:colOff>
      <xdr:row>9</xdr:row>
      <xdr:rowOff>18795</xdr:rowOff>
    </xdr:to>
    <xdr:sp macro="" textlink="">
      <xdr:nvSpPr>
        <xdr:cNvPr id="50" name="Rectangle 49">
          <a:extLst>
            <a:ext uri="{FF2B5EF4-FFF2-40B4-BE49-F238E27FC236}">
              <a16:creationId xmlns:a16="http://schemas.microsoft.com/office/drawing/2014/main" xmlns="" id="{2359A0D3-F794-459C-920E-90A2C34CC423}"/>
            </a:ext>
          </a:extLst>
        </xdr:cNvPr>
        <xdr:cNvSpPr/>
      </xdr:nvSpPr>
      <xdr:spPr>
        <a:xfrm>
          <a:off x="15494895" y="939084"/>
          <a:ext cx="2081439" cy="770063"/>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25</xdr:col>
      <xdr:colOff>482951</xdr:colOff>
      <xdr:row>6</xdr:row>
      <xdr:rowOff>120740</xdr:rowOff>
    </xdr:from>
    <xdr:to>
      <xdr:col>29</xdr:col>
      <xdr:colOff>308715</xdr:colOff>
      <xdr:row>8</xdr:row>
      <xdr:rowOff>78637</xdr:rowOff>
    </xdr:to>
    <xdr:sp macro="" textlink="">
      <xdr:nvSpPr>
        <xdr:cNvPr id="52" name="TextBox 51">
          <a:extLst>
            <a:ext uri="{FF2B5EF4-FFF2-40B4-BE49-F238E27FC236}">
              <a16:creationId xmlns:a16="http://schemas.microsoft.com/office/drawing/2014/main" xmlns="" id="{B0A483C8-CE20-957D-C2CF-16C59BBA98D4}"/>
            </a:ext>
          </a:extLst>
        </xdr:cNvPr>
        <xdr:cNvSpPr txBox="1"/>
      </xdr:nvSpPr>
      <xdr:spPr>
        <a:xfrm>
          <a:off x="15575381" y="1247641"/>
          <a:ext cx="2240552" cy="333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7030A0"/>
              </a:solidFill>
            </a:rPr>
            <a:t>0.969387755</a:t>
          </a:r>
        </a:p>
      </xdr:txBody>
    </xdr:sp>
    <xdr:clientData/>
  </xdr:twoCellAnchor>
  <xdr:twoCellAnchor>
    <xdr:from>
      <xdr:col>21</xdr:col>
      <xdr:colOff>456126</xdr:colOff>
      <xdr:row>5</xdr:row>
      <xdr:rowOff>40246</xdr:rowOff>
    </xdr:from>
    <xdr:to>
      <xdr:col>25</xdr:col>
      <xdr:colOff>281889</xdr:colOff>
      <xdr:row>6</xdr:row>
      <xdr:rowOff>185961</xdr:rowOff>
    </xdr:to>
    <xdr:sp macro="" textlink="">
      <xdr:nvSpPr>
        <xdr:cNvPr id="53" name="TextBox 52">
          <a:extLst>
            <a:ext uri="{FF2B5EF4-FFF2-40B4-BE49-F238E27FC236}">
              <a16:creationId xmlns:a16="http://schemas.microsoft.com/office/drawing/2014/main" xmlns="" id="{B0A483C8-CE20-957D-C2CF-16C59BBA98D4}"/>
            </a:ext>
          </a:extLst>
        </xdr:cNvPr>
        <xdr:cNvSpPr txBox="1"/>
      </xdr:nvSpPr>
      <xdr:spPr>
        <a:xfrm>
          <a:off x="13133767" y="979331"/>
          <a:ext cx="2240552" cy="333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Average Order Value</a:t>
          </a:r>
          <a:endParaRPr lang="en-IN" sz="1400" b="1">
            <a:solidFill>
              <a:schemeClr val="bg1">
                <a:lumMod val="50000"/>
              </a:schemeClr>
            </a:solidFill>
          </a:endParaRPr>
        </a:p>
      </xdr:txBody>
    </xdr:sp>
    <xdr:clientData/>
  </xdr:twoCellAnchor>
  <xdr:twoCellAnchor>
    <xdr:from>
      <xdr:col>21</xdr:col>
      <xdr:colOff>528034</xdr:colOff>
      <xdr:row>6</xdr:row>
      <xdr:rowOff>112154</xdr:rowOff>
    </xdr:from>
    <xdr:to>
      <xdr:col>25</xdr:col>
      <xdr:colOff>353797</xdr:colOff>
      <xdr:row>8</xdr:row>
      <xdr:rowOff>70051</xdr:rowOff>
    </xdr:to>
    <xdr:sp macro="" textlink="">
      <xdr:nvSpPr>
        <xdr:cNvPr id="54" name="TextBox 53">
          <a:extLst>
            <a:ext uri="{FF2B5EF4-FFF2-40B4-BE49-F238E27FC236}">
              <a16:creationId xmlns:a16="http://schemas.microsoft.com/office/drawing/2014/main" xmlns="" id="{B0A483C8-CE20-957D-C2CF-16C59BBA98D4}"/>
            </a:ext>
          </a:extLst>
        </xdr:cNvPr>
        <xdr:cNvSpPr txBox="1"/>
      </xdr:nvSpPr>
      <xdr:spPr>
        <a:xfrm>
          <a:off x="13205675" y="1239055"/>
          <a:ext cx="2240552" cy="333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7030A0"/>
              </a:solidFill>
            </a:rPr>
            <a:t>4054.1</a:t>
          </a:r>
        </a:p>
      </xdr:txBody>
    </xdr:sp>
    <xdr:clientData/>
  </xdr:twoCellAnchor>
  <xdr:twoCellAnchor>
    <xdr:from>
      <xdr:col>25</xdr:col>
      <xdr:colOff>415877</xdr:colOff>
      <xdr:row>5</xdr:row>
      <xdr:rowOff>13415</xdr:rowOff>
    </xdr:from>
    <xdr:to>
      <xdr:col>29</xdr:col>
      <xdr:colOff>241641</xdr:colOff>
      <xdr:row>6</xdr:row>
      <xdr:rowOff>159130</xdr:rowOff>
    </xdr:to>
    <xdr:sp macro="" textlink="">
      <xdr:nvSpPr>
        <xdr:cNvPr id="55" name="TextBox 54">
          <a:extLst>
            <a:ext uri="{FF2B5EF4-FFF2-40B4-BE49-F238E27FC236}">
              <a16:creationId xmlns:a16="http://schemas.microsoft.com/office/drawing/2014/main" xmlns="" id="{B0A483C8-CE20-957D-C2CF-16C59BBA98D4}"/>
            </a:ext>
          </a:extLst>
        </xdr:cNvPr>
        <xdr:cNvSpPr txBox="1"/>
      </xdr:nvSpPr>
      <xdr:spPr>
        <a:xfrm>
          <a:off x="15508307" y="952500"/>
          <a:ext cx="2240552" cy="333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Repeat Customer Rate</a:t>
          </a:r>
          <a:endParaRPr lang="en-IN" sz="1400" b="1">
            <a:solidFill>
              <a:schemeClr val="bg1">
                <a:lumMod val="50000"/>
              </a:schemeClr>
            </a:solidFill>
          </a:endParaRPr>
        </a:p>
      </xdr:txBody>
    </xdr:sp>
    <xdr:clientData/>
  </xdr:twoCellAnchor>
  <xdr:twoCellAnchor>
    <xdr:from>
      <xdr:col>22</xdr:col>
      <xdr:colOff>381002</xdr:colOff>
      <xdr:row>10</xdr:row>
      <xdr:rowOff>0</xdr:rowOff>
    </xdr:from>
    <xdr:to>
      <xdr:col>29</xdr:col>
      <xdr:colOff>190500</xdr:colOff>
      <xdr:row>21</xdr:row>
      <xdr:rowOff>136072</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390525</xdr:colOff>
      <xdr:row>1</xdr:row>
      <xdr:rowOff>66674</xdr:rowOff>
    </xdr:from>
    <xdr:to>
      <xdr:col>16</xdr:col>
      <xdr:colOff>219075</xdr:colOff>
      <xdr:row>20</xdr:row>
      <xdr:rowOff>104775</xdr:rowOff>
    </xdr:to>
    <xdr:sp macro="" textlink="">
      <xdr:nvSpPr>
        <xdr:cNvPr id="2" name="TextBox 1">
          <a:extLst>
            <a:ext uri="{FF2B5EF4-FFF2-40B4-BE49-F238E27FC236}">
              <a16:creationId xmlns="" xmlns:a16="http://schemas.microsoft.com/office/drawing/2014/main" id="{BF33A534-8111-74EB-477C-E6C26C1CA42F}"/>
            </a:ext>
          </a:extLst>
        </xdr:cNvPr>
        <xdr:cNvSpPr txBox="1"/>
      </xdr:nvSpPr>
      <xdr:spPr>
        <a:xfrm>
          <a:off x="1752600" y="257174"/>
          <a:ext cx="8972550" cy="3657601"/>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algn="ctr"/>
          <a:r>
            <a:rPr lang="en-IN" sz="1600" b="1">
              <a:solidFill>
                <a:srgbClr val="00B0F0"/>
              </a:solidFill>
            </a:rPr>
            <a:t>Key Insights &amp; Recommendations</a:t>
          </a:r>
        </a:p>
        <a:p>
          <a:pPr algn="l"/>
          <a:r>
            <a:rPr lang="en-IN" sz="1600" b="1">
              <a:solidFill>
                <a:schemeClr val="accent6">
                  <a:lumMod val="75000"/>
                </a:schemeClr>
              </a:solidFill>
            </a:rPr>
            <a:t>Key -</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b="0"/>
            <a:t>1. </a:t>
          </a:r>
          <a:r>
            <a:rPr lang="en-IN" sz="1200"/>
            <a:t>Out of </a:t>
          </a:r>
          <a:r>
            <a:rPr lang="en-IN" sz="1200" b="1"/>
            <a:t>98 unique customers</a:t>
          </a:r>
          <a:r>
            <a:rPr lang="en-IN" sz="1200"/>
            <a:t>, </a:t>
          </a:r>
          <a:r>
            <a:rPr lang="en-IN" sz="1200" b="1"/>
            <a:t>95 are repeat customers</a:t>
          </a:r>
          <a:r>
            <a:rPr lang="en-IN" sz="1200"/>
            <a:t> and only </a:t>
          </a:r>
          <a:r>
            <a:rPr lang="en-IN" sz="1200" b="1"/>
            <a:t>3 are new customers</a:t>
          </a:r>
          <a:r>
            <a:rPr lang="en-IN" sz="1200"/>
            <a:t>.</a:t>
          </a:r>
          <a:endParaRPr lang="en-IN" sz="1200" b="0"/>
        </a:p>
        <a:p>
          <a:pPr marL="0" marR="0" lvl="0" indent="0" algn="l" defTabSz="914400" eaLnBrk="1" fontAlgn="auto" latinLnBrk="0" hangingPunct="1">
            <a:lnSpc>
              <a:spcPct val="100000"/>
            </a:lnSpc>
            <a:spcBef>
              <a:spcPts val="0"/>
            </a:spcBef>
            <a:spcAft>
              <a:spcPts val="0"/>
            </a:spcAft>
            <a:buClrTx/>
            <a:buSzTx/>
            <a:buFontTx/>
            <a:buNone/>
            <a:tabLst/>
            <a:defRPr/>
          </a:pPr>
          <a:r>
            <a:rPr lang="en-IN" sz="1200"/>
            <a:t>2. Sales increase during November month.</a:t>
          </a:r>
        </a:p>
        <a:p>
          <a:pPr algn="l"/>
          <a:r>
            <a:rPr lang="en-IN" sz="1200" b="0"/>
            <a:t>3. </a:t>
          </a:r>
          <a:r>
            <a:rPr lang="en-IN" sz="1200"/>
            <a:t>Electronics category contributes the highest revenue among all categories.</a:t>
          </a:r>
        </a:p>
        <a:p>
          <a:pPr algn="l"/>
          <a:r>
            <a:rPr lang="en-IN" sz="1200" b="0">
              <a:solidFill>
                <a:sysClr val="windowText" lastClr="000000"/>
              </a:solidFill>
            </a:rPr>
            <a:t>4. </a:t>
          </a:r>
          <a:r>
            <a:rPr lang="en-IN" sz="1200"/>
            <a:t>Maharashtra and Karnataka are the top-performing states.</a:t>
          </a:r>
          <a:endParaRPr lang="en-IN" sz="1200" b="0"/>
        </a:p>
        <a:p>
          <a:pPr algn="l"/>
          <a:r>
            <a:rPr lang="en-IN" sz="1200" b="0">
              <a:solidFill>
                <a:sysClr val="windowText" lastClr="000000"/>
              </a:solidFill>
            </a:rPr>
            <a:t>5. </a:t>
          </a:r>
          <a:r>
            <a:rPr lang="en-IN" sz="1200"/>
            <a:t>Sales contribution is relatively balanced across genders.</a:t>
          </a:r>
          <a:endParaRPr lang="en-IN" sz="1200" b="0"/>
        </a:p>
        <a:p>
          <a:pPr algn="l"/>
          <a:r>
            <a:rPr lang="en-IN" sz="1200" b="0"/>
            <a:t>6. </a:t>
          </a:r>
          <a:r>
            <a:rPr lang="en-IN" sz="1200"/>
            <a:t>Customers aged </a:t>
          </a:r>
          <a:r>
            <a:rPr lang="en-IN" sz="1200" b="1"/>
            <a:t>35–44 generated ₹592,650</a:t>
          </a:r>
          <a:r>
            <a:rPr lang="en-IN" sz="1200"/>
            <a:t>, the highest among all age groups.</a:t>
          </a:r>
        </a:p>
        <a:p>
          <a:pPr algn="l"/>
          <a:r>
            <a:rPr lang="en-IN" sz="1200" b="0">
              <a:solidFill>
                <a:sysClr val="windowText" lastClr="000000"/>
              </a:solidFill>
            </a:rPr>
            <a:t>7. </a:t>
          </a:r>
          <a:r>
            <a:rPr lang="en-IN" sz="1200"/>
            <a:t>Ahmedabad is the Top Performing City</a:t>
          </a:r>
        </a:p>
        <a:p>
          <a:pPr algn="l"/>
          <a:r>
            <a:rPr lang="en-IN" sz="1200" b="0"/>
            <a:t>8. </a:t>
          </a:r>
          <a:r>
            <a:rPr lang="en-IN" sz="1200"/>
            <a:t>Smartwatch sales significantly outperform most other products.</a:t>
          </a:r>
        </a:p>
        <a:p>
          <a:pPr algn="l"/>
          <a:r>
            <a:rPr lang="en-IN" sz="1600" b="1">
              <a:solidFill>
                <a:schemeClr val="accent6">
                  <a:lumMod val="75000"/>
                </a:schemeClr>
              </a:solidFill>
            </a:rPr>
            <a:t>Recommendations</a:t>
          </a:r>
          <a:r>
            <a:rPr lang="en-IN" sz="1400" b="1" baseline="0">
              <a:solidFill>
                <a:schemeClr val="accent6">
                  <a:lumMod val="75000"/>
                </a:schemeClr>
              </a:solidFill>
            </a:rPr>
            <a:t> -</a:t>
          </a:r>
        </a:p>
        <a:p>
          <a:pPr algn="l"/>
          <a:r>
            <a:rPr lang="en-IN" sz="1200"/>
            <a:t>1. Increase digital marketing campaigns, referral programs, and promotional offers to attract new customers.</a:t>
          </a:r>
        </a:p>
        <a:p>
          <a:pPr algn="l"/>
          <a:r>
            <a:rPr lang="en-IN" sz="1200"/>
            <a:t>2. Focus marketing campaigns on the </a:t>
          </a:r>
          <a:r>
            <a:rPr lang="en-IN" sz="1200" b="1"/>
            <a:t>18 – 34 age group</a:t>
          </a:r>
          <a:r>
            <a:rPr lang="en-IN" sz="1200"/>
            <a:t>. Use personalized email and social media campaigns for these customers.</a:t>
          </a:r>
        </a:p>
        <a:p>
          <a:pPr algn="l"/>
          <a:r>
            <a:rPr lang="en-IN" sz="1200"/>
            <a:t>3. Delhi and Rajasthan generate lower revenue.</a:t>
          </a:r>
          <a:r>
            <a:rPr lang="en-IN" sz="1200" baseline="0"/>
            <a:t> </a:t>
          </a:r>
          <a:r>
            <a:rPr lang="en-IN" sz="1200"/>
            <a:t>Run region-specific promotions and advertising campaigns.</a:t>
          </a:r>
        </a:p>
        <a:p>
          <a:pPr algn="l"/>
          <a:r>
            <a:rPr lang="en-IN" sz="1200"/>
            <a:t>4. Provide special rewards for top customers.</a:t>
          </a:r>
        </a:p>
        <a:p>
          <a:pPr algn="l"/>
          <a:r>
            <a:rPr lang="en-IN" sz="1200"/>
            <a:t>5. Promote Best-Selling Products</a:t>
          </a:r>
        </a:p>
        <a:p>
          <a:pPr algn="l"/>
          <a:r>
            <a:rPr lang="en-IN" sz="1200"/>
            <a:t>6. Improve Female Customer Engagement.</a:t>
          </a:r>
        </a:p>
        <a:p>
          <a:pPr algn="l"/>
          <a:r>
            <a:rPr lang="en-IN" sz="1200" b="0">
              <a:solidFill>
                <a:sysClr val="windowText" lastClr="000000"/>
              </a:solidFill>
            </a:rPr>
            <a:t>7. </a:t>
          </a:r>
          <a:r>
            <a:rPr lang="en-IN" sz="1200"/>
            <a:t>Set a target to increase new customers from </a:t>
          </a:r>
          <a:r>
            <a:rPr lang="en-IN" sz="1200" b="1"/>
            <a:t>3 to at least 15–20% of total customers</a:t>
          </a:r>
          <a:r>
            <a:rPr lang="en-IN" sz="1200" b="0"/>
            <a:t>.</a:t>
          </a:r>
          <a:endParaRPr lang="en-IN" sz="1200" b="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yali Taralekar" refreshedDate="46196.621201851849" createdVersion="5" refreshedVersion="5" minRefreshableVersion="3" recordCount="500">
  <cacheSource type="worksheet">
    <worksheetSource ref="A1:O501" sheet="Orders_Data"/>
  </cacheSource>
  <cacheFields count="15">
    <cacheField name="Order ID" numFmtId="0">
      <sharedItems/>
    </cacheField>
    <cacheField name="Order Date" numFmtId="164">
      <sharedItems containsSemiMixedTypes="0" containsNonDate="0" containsDate="1" containsString="0" minDate="2025-01-01T00:00:00" maxDate="2025-12-31T00:00:00"/>
    </cacheField>
    <cacheField name="Customer ID" numFmtId="0">
      <sharedItems count="98">
        <s v="C035"/>
        <s v="C085"/>
        <s v="C070"/>
        <s v="C026"/>
        <s v="C014"/>
        <s v="C088"/>
        <s v="C059"/>
        <s v="C044"/>
        <s v="C008"/>
        <s v="C019"/>
        <s v="C100"/>
        <s v="C049"/>
        <s v="C038"/>
        <s v="C040"/>
        <s v="C057"/>
        <s v="C015"/>
        <s v="C081"/>
        <s v="C025"/>
        <s v="C045"/>
        <s v="C092"/>
        <s v="C021"/>
        <s v="C022"/>
        <s v="C091"/>
        <s v="C099"/>
        <s v="C017"/>
        <s v="C048"/>
        <s v="C031"/>
        <s v="C010"/>
        <s v="C082"/>
        <s v="C060"/>
        <s v="C079"/>
        <s v="C080"/>
        <s v="C039"/>
        <s v="C061"/>
        <s v="C003"/>
        <s v="C056"/>
        <s v="C097"/>
        <s v="C052"/>
        <s v="C007"/>
        <s v="C027"/>
        <s v="C037"/>
        <s v="C084"/>
        <s v="C083"/>
        <s v="C075"/>
        <s v="C036"/>
        <s v="C050"/>
        <s v="C051"/>
        <s v="C005"/>
        <s v="C033"/>
        <s v="C020"/>
        <s v="C062"/>
        <s v="C069"/>
        <s v="C089"/>
        <s v="C012"/>
        <s v="C093"/>
        <s v="C029"/>
        <s v="C053"/>
        <s v="C076"/>
        <s v="C023"/>
        <s v="C002"/>
        <s v="C065"/>
        <s v="C078"/>
        <s v="C090"/>
        <s v="C086"/>
        <s v="C055"/>
        <s v="C042"/>
        <s v="C094"/>
        <s v="C095"/>
        <s v="C004"/>
        <s v="C098"/>
        <s v="C071"/>
        <s v="C087"/>
        <s v="C032"/>
        <s v="C068"/>
        <s v="C064"/>
        <s v="C077"/>
        <s v="C009"/>
        <s v="C016"/>
        <s v="C074"/>
        <s v="C066"/>
        <s v="C006"/>
        <s v="C073"/>
        <s v="C018"/>
        <s v="C034"/>
        <s v="C041"/>
        <s v="C001"/>
        <s v="C072"/>
        <s v="C028"/>
        <s v="C013"/>
        <s v="C024"/>
        <s v="C096"/>
        <s v="C030"/>
        <s v="C067"/>
        <s v="C063"/>
        <s v="C047"/>
        <s v="C043"/>
        <s v="C054"/>
        <s v="C046"/>
      </sharedItems>
    </cacheField>
    <cacheField name="Customer Name" numFmtId="0">
      <sharedItems count="20">
        <s v="Deepak Yadav"/>
        <s v="Riya Kapoor"/>
        <s v="Aisha Khan"/>
        <s v="Pooja Desai"/>
        <s v="Amit Sharma"/>
        <s v="Sneha Joshi"/>
        <s v="Arjun Nair"/>
        <s v="Neha Singh"/>
        <s v="Rahul Verma"/>
        <s v="Karan Mehta"/>
        <s v="Saurabh Jain"/>
        <s v="Meera Iyer"/>
        <s v="Simran Kaur"/>
        <s v="Priya Patel"/>
        <s v="Vikas Kumar"/>
        <s v="Kavya Rao"/>
        <s v="Rohan Gupta"/>
        <s v="Akash Mishra"/>
        <s v="Anjali Shah"/>
        <s v="Nitin Patil"/>
      </sharedItems>
    </cacheField>
    <cacheField name="Gender" numFmtId="0">
      <sharedItems count="2">
        <s v="Male"/>
        <s v="Female"/>
      </sharedItems>
    </cacheField>
    <cacheField name="Age" numFmtId="0">
      <sharedItems containsSemiMixedTypes="0" containsString="0" containsNumber="1" containsInteger="1" minValue="18" maxValue="55"/>
    </cacheField>
    <cacheField name="City" numFmtId="0">
      <sharedItems count="10">
        <s v="Pune"/>
        <s v="Mysuru"/>
        <s v="Mumbai"/>
        <s v="Bengaluru"/>
        <s v="Jaipur"/>
        <s v="Surat"/>
        <s v="Hyderabad"/>
        <s v="Nagpur"/>
        <s v="Ahmedabad"/>
        <s v="Delhi"/>
      </sharedItems>
    </cacheField>
    <cacheField name="State" numFmtId="0">
      <sharedItems count="6">
        <s v="Maharashtra"/>
        <s v="Karnataka"/>
        <s v="Rajasthan"/>
        <s v="Gujarat"/>
        <s v="Telangana"/>
        <s v="Delhi"/>
      </sharedItems>
    </cacheField>
    <cacheField name="Category" numFmtId="0">
      <sharedItems count="5">
        <s v="Electronics"/>
        <s v="Home Decor"/>
        <s v="Beauty"/>
        <s v="Books"/>
        <s v="Fashion"/>
      </sharedItems>
    </cacheField>
    <cacheField name="Product" numFmtId="0">
      <sharedItems count="20">
        <s v="Smartwatch"/>
        <s v="Lamp"/>
        <s v="Cushion"/>
        <s v="Face Wash"/>
        <s v="Headphones"/>
        <s v="Lipstick"/>
        <s v="Perfume"/>
        <s v="Novel"/>
        <s v="Vase"/>
        <s v="Keyboard"/>
        <s v="T-Shirt"/>
        <s v="Mouse"/>
        <s v="Moisturizer"/>
        <s v="Jacket"/>
        <s v="Study Guide"/>
        <s v="Biography"/>
        <s v="Comics"/>
        <s v="Wall Art"/>
        <s v="Jeans"/>
        <s v="Shoes"/>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300" maxValue="5000"/>
    </cacheField>
    <cacheField name="Sales" numFmtId="0">
      <sharedItems containsSemiMixedTypes="0" containsString="0" containsNumber="1" containsInteger="1" minValue="300" maxValue="25000"/>
    </cacheField>
    <cacheField name="Month" numFmtId="0">
      <sharedItems count="12">
        <s v="Jan"/>
        <s v="Oct"/>
        <s v="Aug"/>
        <s v="Jun"/>
        <s v="Jul"/>
        <s v="Nov"/>
        <s v="Feb"/>
        <s v="Mar"/>
        <s v="Dec"/>
        <s v="Apr"/>
        <s v="May"/>
        <s v="Sep"/>
      </sharedItems>
    </cacheField>
    <cacheField name="Age Group" numFmtId="0">
      <sharedItems count="4">
        <s v="35-44"/>
        <s v="25-34"/>
        <s v="45+"/>
        <s v="18-2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ORD0001"/>
    <d v="2025-01-05T00:00:00"/>
    <x v="0"/>
    <x v="0"/>
    <x v="0"/>
    <n v="35"/>
    <x v="0"/>
    <x v="0"/>
    <x v="0"/>
    <x v="0"/>
    <n v="3"/>
    <n v="5000"/>
    <n v="15000"/>
    <x v="0"/>
    <x v="0"/>
  </r>
  <r>
    <s v="ORD0002"/>
    <d v="2025-10-16T00:00:00"/>
    <x v="1"/>
    <x v="1"/>
    <x v="1"/>
    <n v="26"/>
    <x v="1"/>
    <x v="1"/>
    <x v="0"/>
    <x v="0"/>
    <n v="5"/>
    <n v="5000"/>
    <n v="25000"/>
    <x v="1"/>
    <x v="1"/>
  </r>
  <r>
    <s v="ORD0003"/>
    <d v="2025-10-08T00:00:00"/>
    <x v="2"/>
    <x v="2"/>
    <x v="1"/>
    <n v="29"/>
    <x v="0"/>
    <x v="0"/>
    <x v="1"/>
    <x v="1"/>
    <n v="1"/>
    <n v="1200"/>
    <n v="1200"/>
    <x v="1"/>
    <x v="1"/>
  </r>
  <r>
    <s v="ORD0004"/>
    <d v="2025-08-02T00:00:00"/>
    <x v="3"/>
    <x v="0"/>
    <x v="0"/>
    <n v="44"/>
    <x v="2"/>
    <x v="0"/>
    <x v="1"/>
    <x v="2"/>
    <n v="3"/>
    <n v="700"/>
    <n v="2100"/>
    <x v="2"/>
    <x v="0"/>
  </r>
  <r>
    <s v="ORD0005"/>
    <d v="2025-06-11T00:00:00"/>
    <x v="4"/>
    <x v="2"/>
    <x v="1"/>
    <n v="27"/>
    <x v="3"/>
    <x v="1"/>
    <x v="2"/>
    <x v="3"/>
    <n v="5"/>
    <n v="350"/>
    <n v="1750"/>
    <x v="3"/>
    <x v="1"/>
  </r>
  <r>
    <s v="ORD0006"/>
    <d v="2025-08-17T00:00:00"/>
    <x v="5"/>
    <x v="1"/>
    <x v="1"/>
    <n v="47"/>
    <x v="4"/>
    <x v="2"/>
    <x v="0"/>
    <x v="4"/>
    <n v="3"/>
    <n v="1500"/>
    <n v="4500"/>
    <x v="2"/>
    <x v="2"/>
  </r>
  <r>
    <s v="ORD0007"/>
    <d v="2025-08-14T00:00:00"/>
    <x v="6"/>
    <x v="0"/>
    <x v="0"/>
    <n v="35"/>
    <x v="5"/>
    <x v="3"/>
    <x v="1"/>
    <x v="1"/>
    <n v="5"/>
    <n v="1200"/>
    <n v="6000"/>
    <x v="2"/>
    <x v="0"/>
  </r>
  <r>
    <s v="ORD0008"/>
    <d v="2025-06-13T00:00:00"/>
    <x v="7"/>
    <x v="3"/>
    <x v="1"/>
    <n v="52"/>
    <x v="1"/>
    <x v="1"/>
    <x v="2"/>
    <x v="5"/>
    <n v="2"/>
    <n v="800"/>
    <n v="1600"/>
    <x v="3"/>
    <x v="2"/>
  </r>
  <r>
    <s v="ORD0009"/>
    <d v="2025-07-15T00:00:00"/>
    <x v="8"/>
    <x v="4"/>
    <x v="0"/>
    <n v="25"/>
    <x v="0"/>
    <x v="0"/>
    <x v="0"/>
    <x v="4"/>
    <n v="1"/>
    <n v="1500"/>
    <n v="1500"/>
    <x v="4"/>
    <x v="1"/>
  </r>
  <r>
    <s v="ORD0010"/>
    <d v="2025-11-23T00:00:00"/>
    <x v="9"/>
    <x v="5"/>
    <x v="1"/>
    <n v="43"/>
    <x v="5"/>
    <x v="3"/>
    <x v="2"/>
    <x v="6"/>
    <n v="2"/>
    <n v="1500"/>
    <n v="3000"/>
    <x v="5"/>
    <x v="0"/>
  </r>
  <r>
    <s v="ORD0011"/>
    <d v="2025-02-22T00:00:00"/>
    <x v="0"/>
    <x v="6"/>
    <x v="0"/>
    <n v="23"/>
    <x v="6"/>
    <x v="4"/>
    <x v="3"/>
    <x v="7"/>
    <n v="4"/>
    <n v="500"/>
    <n v="2000"/>
    <x v="6"/>
    <x v="3"/>
  </r>
  <r>
    <s v="ORD0012"/>
    <d v="2025-10-18T00:00:00"/>
    <x v="10"/>
    <x v="7"/>
    <x v="1"/>
    <n v="27"/>
    <x v="7"/>
    <x v="0"/>
    <x v="1"/>
    <x v="8"/>
    <n v="3"/>
    <n v="900"/>
    <n v="2700"/>
    <x v="1"/>
    <x v="1"/>
  </r>
  <r>
    <s v="ORD0013"/>
    <d v="2025-03-04T00:00:00"/>
    <x v="11"/>
    <x v="8"/>
    <x v="0"/>
    <n v="33"/>
    <x v="8"/>
    <x v="3"/>
    <x v="0"/>
    <x v="9"/>
    <n v="4"/>
    <n v="2500"/>
    <n v="10000"/>
    <x v="7"/>
    <x v="1"/>
  </r>
  <r>
    <s v="ORD0014"/>
    <d v="2025-12-13T00:00:00"/>
    <x v="2"/>
    <x v="9"/>
    <x v="0"/>
    <n v="34"/>
    <x v="4"/>
    <x v="2"/>
    <x v="4"/>
    <x v="10"/>
    <n v="3"/>
    <n v="600"/>
    <n v="1800"/>
    <x v="8"/>
    <x v="1"/>
  </r>
  <r>
    <s v="ORD0015"/>
    <d v="2025-03-22T00:00:00"/>
    <x v="12"/>
    <x v="10"/>
    <x v="0"/>
    <n v="50"/>
    <x v="5"/>
    <x v="3"/>
    <x v="3"/>
    <x v="7"/>
    <n v="4"/>
    <n v="500"/>
    <n v="2000"/>
    <x v="7"/>
    <x v="2"/>
  </r>
  <r>
    <s v="ORD0016"/>
    <d v="2025-04-30T00:00:00"/>
    <x v="9"/>
    <x v="5"/>
    <x v="1"/>
    <n v="18"/>
    <x v="2"/>
    <x v="0"/>
    <x v="0"/>
    <x v="11"/>
    <n v="5"/>
    <n v="800"/>
    <n v="4000"/>
    <x v="9"/>
    <x v="3"/>
  </r>
  <r>
    <s v="ORD0017"/>
    <d v="2025-03-03T00:00:00"/>
    <x v="13"/>
    <x v="3"/>
    <x v="1"/>
    <n v="32"/>
    <x v="3"/>
    <x v="1"/>
    <x v="0"/>
    <x v="0"/>
    <n v="4"/>
    <n v="5000"/>
    <n v="20000"/>
    <x v="7"/>
    <x v="1"/>
  </r>
  <r>
    <s v="ORD0018"/>
    <d v="2025-04-02T00:00:00"/>
    <x v="14"/>
    <x v="11"/>
    <x v="1"/>
    <n v="42"/>
    <x v="5"/>
    <x v="3"/>
    <x v="2"/>
    <x v="3"/>
    <n v="2"/>
    <n v="350"/>
    <n v="700"/>
    <x v="9"/>
    <x v="0"/>
  </r>
  <r>
    <s v="ORD0019"/>
    <d v="2025-05-11T00:00:00"/>
    <x v="15"/>
    <x v="12"/>
    <x v="1"/>
    <n v="36"/>
    <x v="2"/>
    <x v="0"/>
    <x v="2"/>
    <x v="12"/>
    <n v="3"/>
    <n v="600"/>
    <n v="1800"/>
    <x v="10"/>
    <x v="0"/>
  </r>
  <r>
    <s v="ORD0020"/>
    <d v="2025-03-23T00:00:00"/>
    <x v="16"/>
    <x v="13"/>
    <x v="1"/>
    <n v="37"/>
    <x v="5"/>
    <x v="3"/>
    <x v="2"/>
    <x v="6"/>
    <n v="4"/>
    <n v="1500"/>
    <n v="6000"/>
    <x v="7"/>
    <x v="0"/>
  </r>
  <r>
    <s v="ORD0021"/>
    <d v="2025-03-21T00:00:00"/>
    <x v="16"/>
    <x v="0"/>
    <x v="0"/>
    <n v="44"/>
    <x v="5"/>
    <x v="3"/>
    <x v="2"/>
    <x v="5"/>
    <n v="5"/>
    <n v="800"/>
    <n v="4000"/>
    <x v="7"/>
    <x v="0"/>
  </r>
  <r>
    <s v="ORD0022"/>
    <d v="2025-10-11T00:00:00"/>
    <x v="17"/>
    <x v="14"/>
    <x v="0"/>
    <n v="42"/>
    <x v="1"/>
    <x v="1"/>
    <x v="1"/>
    <x v="1"/>
    <n v="4"/>
    <n v="1200"/>
    <n v="4800"/>
    <x v="1"/>
    <x v="0"/>
  </r>
  <r>
    <s v="ORD0023"/>
    <d v="2025-05-10T00:00:00"/>
    <x v="18"/>
    <x v="5"/>
    <x v="1"/>
    <n v="19"/>
    <x v="0"/>
    <x v="0"/>
    <x v="1"/>
    <x v="8"/>
    <n v="1"/>
    <n v="900"/>
    <n v="900"/>
    <x v="10"/>
    <x v="3"/>
  </r>
  <r>
    <s v="ORD0024"/>
    <d v="2025-12-02T00:00:00"/>
    <x v="19"/>
    <x v="15"/>
    <x v="1"/>
    <n v="39"/>
    <x v="6"/>
    <x v="4"/>
    <x v="2"/>
    <x v="3"/>
    <n v="2"/>
    <n v="350"/>
    <n v="700"/>
    <x v="8"/>
    <x v="0"/>
  </r>
  <r>
    <s v="ORD0025"/>
    <d v="2025-08-19T00:00:00"/>
    <x v="20"/>
    <x v="6"/>
    <x v="0"/>
    <n v="45"/>
    <x v="6"/>
    <x v="4"/>
    <x v="2"/>
    <x v="3"/>
    <n v="2"/>
    <n v="350"/>
    <n v="700"/>
    <x v="2"/>
    <x v="2"/>
  </r>
  <r>
    <s v="ORD0026"/>
    <d v="2025-12-13T00:00:00"/>
    <x v="21"/>
    <x v="4"/>
    <x v="0"/>
    <n v="23"/>
    <x v="8"/>
    <x v="3"/>
    <x v="0"/>
    <x v="4"/>
    <n v="5"/>
    <n v="1500"/>
    <n v="7500"/>
    <x v="8"/>
    <x v="3"/>
  </r>
  <r>
    <s v="ORD0027"/>
    <d v="2025-02-19T00:00:00"/>
    <x v="22"/>
    <x v="16"/>
    <x v="0"/>
    <n v="52"/>
    <x v="0"/>
    <x v="0"/>
    <x v="4"/>
    <x v="13"/>
    <n v="3"/>
    <n v="2500"/>
    <n v="7500"/>
    <x v="6"/>
    <x v="2"/>
  </r>
  <r>
    <s v="ORD0028"/>
    <d v="2025-03-25T00:00:00"/>
    <x v="0"/>
    <x v="12"/>
    <x v="1"/>
    <n v="24"/>
    <x v="2"/>
    <x v="0"/>
    <x v="2"/>
    <x v="12"/>
    <n v="4"/>
    <n v="600"/>
    <n v="2400"/>
    <x v="7"/>
    <x v="3"/>
  </r>
  <r>
    <s v="ORD0029"/>
    <d v="2025-06-20T00:00:00"/>
    <x v="23"/>
    <x v="17"/>
    <x v="0"/>
    <n v="29"/>
    <x v="4"/>
    <x v="2"/>
    <x v="2"/>
    <x v="12"/>
    <n v="4"/>
    <n v="600"/>
    <n v="2400"/>
    <x v="3"/>
    <x v="1"/>
  </r>
  <r>
    <s v="ORD0030"/>
    <d v="2025-01-26T00:00:00"/>
    <x v="24"/>
    <x v="9"/>
    <x v="0"/>
    <n v="47"/>
    <x v="6"/>
    <x v="4"/>
    <x v="3"/>
    <x v="14"/>
    <n v="1"/>
    <n v="900"/>
    <n v="900"/>
    <x v="0"/>
    <x v="2"/>
  </r>
  <r>
    <s v="ORD0031"/>
    <d v="2025-04-02T00:00:00"/>
    <x v="25"/>
    <x v="18"/>
    <x v="1"/>
    <n v="28"/>
    <x v="7"/>
    <x v="0"/>
    <x v="3"/>
    <x v="15"/>
    <n v="2"/>
    <n v="700"/>
    <n v="1400"/>
    <x v="9"/>
    <x v="1"/>
  </r>
  <r>
    <s v="ORD0032"/>
    <d v="2025-12-30T00:00:00"/>
    <x v="19"/>
    <x v="18"/>
    <x v="1"/>
    <n v="52"/>
    <x v="3"/>
    <x v="1"/>
    <x v="3"/>
    <x v="14"/>
    <n v="5"/>
    <n v="900"/>
    <n v="4500"/>
    <x v="8"/>
    <x v="2"/>
  </r>
  <r>
    <s v="ORD0033"/>
    <d v="2025-11-07T00:00:00"/>
    <x v="25"/>
    <x v="6"/>
    <x v="0"/>
    <n v="55"/>
    <x v="5"/>
    <x v="3"/>
    <x v="3"/>
    <x v="7"/>
    <n v="4"/>
    <n v="500"/>
    <n v="2000"/>
    <x v="5"/>
    <x v="2"/>
  </r>
  <r>
    <s v="ORD0034"/>
    <d v="2025-11-15T00:00:00"/>
    <x v="21"/>
    <x v="2"/>
    <x v="1"/>
    <n v="39"/>
    <x v="5"/>
    <x v="3"/>
    <x v="2"/>
    <x v="5"/>
    <n v="2"/>
    <n v="800"/>
    <n v="1600"/>
    <x v="5"/>
    <x v="0"/>
  </r>
  <r>
    <s v="ORD0035"/>
    <d v="2025-02-06T00:00:00"/>
    <x v="26"/>
    <x v="13"/>
    <x v="1"/>
    <n v="48"/>
    <x v="2"/>
    <x v="0"/>
    <x v="0"/>
    <x v="9"/>
    <n v="3"/>
    <n v="2500"/>
    <n v="7500"/>
    <x v="6"/>
    <x v="2"/>
  </r>
  <r>
    <s v="ORD0036"/>
    <d v="2025-04-01T00:00:00"/>
    <x v="27"/>
    <x v="1"/>
    <x v="1"/>
    <n v="28"/>
    <x v="2"/>
    <x v="0"/>
    <x v="2"/>
    <x v="3"/>
    <n v="4"/>
    <n v="350"/>
    <n v="1400"/>
    <x v="9"/>
    <x v="1"/>
  </r>
  <r>
    <s v="ORD0037"/>
    <d v="2025-04-11T00:00:00"/>
    <x v="28"/>
    <x v="8"/>
    <x v="0"/>
    <n v="19"/>
    <x v="5"/>
    <x v="3"/>
    <x v="1"/>
    <x v="8"/>
    <n v="3"/>
    <n v="900"/>
    <n v="2700"/>
    <x v="9"/>
    <x v="3"/>
  </r>
  <r>
    <s v="ORD0038"/>
    <d v="2025-04-17T00:00:00"/>
    <x v="29"/>
    <x v="2"/>
    <x v="1"/>
    <n v="23"/>
    <x v="9"/>
    <x v="5"/>
    <x v="1"/>
    <x v="1"/>
    <n v="4"/>
    <n v="1200"/>
    <n v="4800"/>
    <x v="9"/>
    <x v="3"/>
  </r>
  <r>
    <s v="ORD0039"/>
    <d v="2025-11-16T00:00:00"/>
    <x v="2"/>
    <x v="15"/>
    <x v="1"/>
    <n v="50"/>
    <x v="0"/>
    <x v="0"/>
    <x v="0"/>
    <x v="11"/>
    <n v="3"/>
    <n v="800"/>
    <n v="2400"/>
    <x v="5"/>
    <x v="2"/>
  </r>
  <r>
    <s v="ORD0040"/>
    <d v="2025-04-23T00:00:00"/>
    <x v="23"/>
    <x v="9"/>
    <x v="0"/>
    <n v="41"/>
    <x v="9"/>
    <x v="5"/>
    <x v="4"/>
    <x v="10"/>
    <n v="2"/>
    <n v="600"/>
    <n v="1200"/>
    <x v="9"/>
    <x v="0"/>
  </r>
  <r>
    <s v="ORD0041"/>
    <d v="2025-12-27T00:00:00"/>
    <x v="30"/>
    <x v="12"/>
    <x v="1"/>
    <n v="46"/>
    <x v="7"/>
    <x v="0"/>
    <x v="2"/>
    <x v="6"/>
    <n v="5"/>
    <n v="1500"/>
    <n v="7500"/>
    <x v="8"/>
    <x v="2"/>
  </r>
  <r>
    <s v="ORD0042"/>
    <d v="2025-08-08T00:00:00"/>
    <x v="31"/>
    <x v="16"/>
    <x v="0"/>
    <n v="26"/>
    <x v="2"/>
    <x v="0"/>
    <x v="4"/>
    <x v="13"/>
    <n v="5"/>
    <n v="2500"/>
    <n v="12500"/>
    <x v="2"/>
    <x v="1"/>
  </r>
  <r>
    <s v="ORD0043"/>
    <d v="2025-12-26T00:00:00"/>
    <x v="32"/>
    <x v="12"/>
    <x v="1"/>
    <n v="21"/>
    <x v="6"/>
    <x v="4"/>
    <x v="3"/>
    <x v="16"/>
    <n v="2"/>
    <n v="300"/>
    <n v="600"/>
    <x v="8"/>
    <x v="3"/>
  </r>
  <r>
    <s v="ORD0044"/>
    <d v="2025-06-05T00:00:00"/>
    <x v="2"/>
    <x v="9"/>
    <x v="0"/>
    <n v="23"/>
    <x v="8"/>
    <x v="3"/>
    <x v="3"/>
    <x v="7"/>
    <n v="3"/>
    <n v="500"/>
    <n v="1500"/>
    <x v="3"/>
    <x v="3"/>
  </r>
  <r>
    <s v="ORD0045"/>
    <d v="2025-08-23T00:00:00"/>
    <x v="14"/>
    <x v="14"/>
    <x v="0"/>
    <n v="38"/>
    <x v="4"/>
    <x v="2"/>
    <x v="3"/>
    <x v="14"/>
    <n v="3"/>
    <n v="900"/>
    <n v="2700"/>
    <x v="2"/>
    <x v="0"/>
  </r>
  <r>
    <s v="ORD0046"/>
    <d v="2025-06-04T00:00:00"/>
    <x v="33"/>
    <x v="16"/>
    <x v="0"/>
    <n v="32"/>
    <x v="9"/>
    <x v="5"/>
    <x v="1"/>
    <x v="1"/>
    <n v="3"/>
    <n v="1200"/>
    <n v="3600"/>
    <x v="3"/>
    <x v="1"/>
  </r>
  <r>
    <s v="ORD0047"/>
    <d v="2025-05-01T00:00:00"/>
    <x v="10"/>
    <x v="19"/>
    <x v="0"/>
    <n v="29"/>
    <x v="0"/>
    <x v="0"/>
    <x v="3"/>
    <x v="14"/>
    <n v="1"/>
    <n v="900"/>
    <n v="900"/>
    <x v="10"/>
    <x v="1"/>
  </r>
  <r>
    <s v="ORD0048"/>
    <d v="2025-05-23T00:00:00"/>
    <x v="34"/>
    <x v="12"/>
    <x v="1"/>
    <n v="22"/>
    <x v="0"/>
    <x v="0"/>
    <x v="2"/>
    <x v="5"/>
    <n v="3"/>
    <n v="800"/>
    <n v="2400"/>
    <x v="10"/>
    <x v="3"/>
  </r>
  <r>
    <s v="ORD0049"/>
    <d v="2025-11-19T00:00:00"/>
    <x v="35"/>
    <x v="1"/>
    <x v="1"/>
    <n v="33"/>
    <x v="5"/>
    <x v="3"/>
    <x v="3"/>
    <x v="16"/>
    <n v="5"/>
    <n v="300"/>
    <n v="1500"/>
    <x v="5"/>
    <x v="1"/>
  </r>
  <r>
    <s v="ORD0050"/>
    <d v="2025-06-08T00:00:00"/>
    <x v="36"/>
    <x v="2"/>
    <x v="1"/>
    <n v="23"/>
    <x v="7"/>
    <x v="0"/>
    <x v="0"/>
    <x v="4"/>
    <n v="4"/>
    <n v="1500"/>
    <n v="6000"/>
    <x v="3"/>
    <x v="3"/>
  </r>
  <r>
    <s v="ORD0051"/>
    <d v="2025-09-01T00:00:00"/>
    <x v="37"/>
    <x v="18"/>
    <x v="1"/>
    <n v="34"/>
    <x v="9"/>
    <x v="5"/>
    <x v="1"/>
    <x v="2"/>
    <n v="1"/>
    <n v="700"/>
    <n v="700"/>
    <x v="11"/>
    <x v="1"/>
  </r>
  <r>
    <s v="ORD0052"/>
    <d v="2025-01-12T00:00:00"/>
    <x v="2"/>
    <x v="12"/>
    <x v="1"/>
    <n v="23"/>
    <x v="3"/>
    <x v="1"/>
    <x v="3"/>
    <x v="16"/>
    <n v="4"/>
    <n v="300"/>
    <n v="1200"/>
    <x v="0"/>
    <x v="3"/>
  </r>
  <r>
    <s v="ORD0053"/>
    <d v="2025-01-12T00:00:00"/>
    <x v="38"/>
    <x v="3"/>
    <x v="1"/>
    <n v="25"/>
    <x v="0"/>
    <x v="0"/>
    <x v="3"/>
    <x v="16"/>
    <n v="3"/>
    <n v="300"/>
    <n v="900"/>
    <x v="0"/>
    <x v="1"/>
  </r>
  <r>
    <s v="ORD0054"/>
    <d v="2025-06-05T00:00:00"/>
    <x v="28"/>
    <x v="1"/>
    <x v="1"/>
    <n v="25"/>
    <x v="1"/>
    <x v="1"/>
    <x v="0"/>
    <x v="0"/>
    <n v="3"/>
    <n v="5000"/>
    <n v="15000"/>
    <x v="3"/>
    <x v="1"/>
  </r>
  <r>
    <s v="ORD0055"/>
    <d v="2025-01-24T00:00:00"/>
    <x v="39"/>
    <x v="15"/>
    <x v="1"/>
    <n v="53"/>
    <x v="0"/>
    <x v="0"/>
    <x v="1"/>
    <x v="2"/>
    <n v="3"/>
    <n v="700"/>
    <n v="2100"/>
    <x v="0"/>
    <x v="2"/>
  </r>
  <r>
    <s v="ORD0056"/>
    <d v="2025-11-16T00:00:00"/>
    <x v="40"/>
    <x v="13"/>
    <x v="1"/>
    <n v="25"/>
    <x v="2"/>
    <x v="0"/>
    <x v="2"/>
    <x v="3"/>
    <n v="1"/>
    <n v="350"/>
    <n v="350"/>
    <x v="5"/>
    <x v="1"/>
  </r>
  <r>
    <s v="ORD0057"/>
    <d v="2025-06-21T00:00:00"/>
    <x v="41"/>
    <x v="10"/>
    <x v="0"/>
    <n v="49"/>
    <x v="5"/>
    <x v="3"/>
    <x v="3"/>
    <x v="15"/>
    <n v="4"/>
    <n v="700"/>
    <n v="2800"/>
    <x v="3"/>
    <x v="2"/>
  </r>
  <r>
    <s v="ORD0058"/>
    <d v="2025-07-20T00:00:00"/>
    <x v="42"/>
    <x v="10"/>
    <x v="0"/>
    <n v="52"/>
    <x v="6"/>
    <x v="4"/>
    <x v="2"/>
    <x v="3"/>
    <n v="2"/>
    <n v="350"/>
    <n v="700"/>
    <x v="4"/>
    <x v="2"/>
  </r>
  <r>
    <s v="ORD0059"/>
    <d v="2025-05-06T00:00:00"/>
    <x v="43"/>
    <x v="5"/>
    <x v="1"/>
    <n v="34"/>
    <x v="9"/>
    <x v="5"/>
    <x v="1"/>
    <x v="17"/>
    <n v="2"/>
    <n v="1800"/>
    <n v="3600"/>
    <x v="10"/>
    <x v="1"/>
  </r>
  <r>
    <s v="ORD0060"/>
    <d v="2025-02-03T00:00:00"/>
    <x v="36"/>
    <x v="14"/>
    <x v="0"/>
    <n v="44"/>
    <x v="8"/>
    <x v="3"/>
    <x v="2"/>
    <x v="12"/>
    <n v="2"/>
    <n v="600"/>
    <n v="1200"/>
    <x v="6"/>
    <x v="0"/>
  </r>
  <r>
    <s v="ORD0061"/>
    <d v="2025-12-14T00:00:00"/>
    <x v="44"/>
    <x v="13"/>
    <x v="1"/>
    <n v="18"/>
    <x v="0"/>
    <x v="0"/>
    <x v="1"/>
    <x v="17"/>
    <n v="1"/>
    <n v="1800"/>
    <n v="1800"/>
    <x v="8"/>
    <x v="3"/>
  </r>
  <r>
    <s v="ORD0062"/>
    <d v="2025-09-05T00:00:00"/>
    <x v="45"/>
    <x v="1"/>
    <x v="1"/>
    <n v="50"/>
    <x v="0"/>
    <x v="0"/>
    <x v="2"/>
    <x v="3"/>
    <n v="1"/>
    <n v="350"/>
    <n v="350"/>
    <x v="11"/>
    <x v="2"/>
  </r>
  <r>
    <s v="ORD0063"/>
    <d v="2025-05-25T00:00:00"/>
    <x v="15"/>
    <x v="2"/>
    <x v="1"/>
    <n v="23"/>
    <x v="5"/>
    <x v="3"/>
    <x v="1"/>
    <x v="8"/>
    <n v="2"/>
    <n v="900"/>
    <n v="1800"/>
    <x v="10"/>
    <x v="3"/>
  </r>
  <r>
    <s v="ORD0064"/>
    <d v="2025-12-04T00:00:00"/>
    <x v="32"/>
    <x v="16"/>
    <x v="0"/>
    <n v="23"/>
    <x v="2"/>
    <x v="0"/>
    <x v="1"/>
    <x v="8"/>
    <n v="2"/>
    <n v="900"/>
    <n v="1800"/>
    <x v="8"/>
    <x v="3"/>
  </r>
  <r>
    <s v="ORD0065"/>
    <d v="2025-10-03T00:00:00"/>
    <x v="46"/>
    <x v="0"/>
    <x v="0"/>
    <n v="55"/>
    <x v="5"/>
    <x v="3"/>
    <x v="1"/>
    <x v="1"/>
    <n v="2"/>
    <n v="1200"/>
    <n v="2400"/>
    <x v="1"/>
    <x v="2"/>
  </r>
  <r>
    <s v="ORD0066"/>
    <d v="2025-07-31T00:00:00"/>
    <x v="38"/>
    <x v="17"/>
    <x v="0"/>
    <n v="54"/>
    <x v="5"/>
    <x v="3"/>
    <x v="0"/>
    <x v="11"/>
    <n v="1"/>
    <n v="800"/>
    <n v="800"/>
    <x v="4"/>
    <x v="2"/>
  </r>
  <r>
    <s v="ORD0067"/>
    <d v="2025-02-10T00:00:00"/>
    <x v="32"/>
    <x v="9"/>
    <x v="0"/>
    <n v="55"/>
    <x v="0"/>
    <x v="0"/>
    <x v="3"/>
    <x v="7"/>
    <n v="5"/>
    <n v="500"/>
    <n v="2500"/>
    <x v="6"/>
    <x v="2"/>
  </r>
  <r>
    <s v="ORD0068"/>
    <d v="2025-03-13T00:00:00"/>
    <x v="39"/>
    <x v="4"/>
    <x v="0"/>
    <n v="36"/>
    <x v="1"/>
    <x v="1"/>
    <x v="4"/>
    <x v="18"/>
    <n v="2"/>
    <n v="1800"/>
    <n v="3600"/>
    <x v="7"/>
    <x v="0"/>
  </r>
  <r>
    <s v="ORD0069"/>
    <d v="2025-09-20T00:00:00"/>
    <x v="47"/>
    <x v="1"/>
    <x v="1"/>
    <n v="38"/>
    <x v="6"/>
    <x v="4"/>
    <x v="0"/>
    <x v="11"/>
    <n v="1"/>
    <n v="800"/>
    <n v="800"/>
    <x v="11"/>
    <x v="0"/>
  </r>
  <r>
    <s v="ORD0070"/>
    <d v="2025-07-16T00:00:00"/>
    <x v="48"/>
    <x v="18"/>
    <x v="1"/>
    <n v="36"/>
    <x v="0"/>
    <x v="0"/>
    <x v="1"/>
    <x v="8"/>
    <n v="4"/>
    <n v="900"/>
    <n v="3600"/>
    <x v="4"/>
    <x v="0"/>
  </r>
  <r>
    <s v="ORD0071"/>
    <d v="2025-08-20T00:00:00"/>
    <x v="48"/>
    <x v="5"/>
    <x v="1"/>
    <n v="41"/>
    <x v="6"/>
    <x v="4"/>
    <x v="0"/>
    <x v="0"/>
    <n v="4"/>
    <n v="5000"/>
    <n v="20000"/>
    <x v="2"/>
    <x v="0"/>
  </r>
  <r>
    <s v="ORD0072"/>
    <d v="2025-07-11T00:00:00"/>
    <x v="49"/>
    <x v="9"/>
    <x v="0"/>
    <n v="42"/>
    <x v="7"/>
    <x v="0"/>
    <x v="1"/>
    <x v="17"/>
    <n v="4"/>
    <n v="1800"/>
    <n v="7200"/>
    <x v="4"/>
    <x v="0"/>
  </r>
  <r>
    <s v="ORD0073"/>
    <d v="2025-06-03T00:00:00"/>
    <x v="19"/>
    <x v="8"/>
    <x v="0"/>
    <n v="45"/>
    <x v="0"/>
    <x v="0"/>
    <x v="2"/>
    <x v="5"/>
    <n v="5"/>
    <n v="800"/>
    <n v="4000"/>
    <x v="3"/>
    <x v="2"/>
  </r>
  <r>
    <s v="ORD0074"/>
    <d v="2025-08-19T00:00:00"/>
    <x v="37"/>
    <x v="12"/>
    <x v="1"/>
    <n v="28"/>
    <x v="8"/>
    <x v="3"/>
    <x v="4"/>
    <x v="10"/>
    <n v="1"/>
    <n v="600"/>
    <n v="600"/>
    <x v="2"/>
    <x v="1"/>
  </r>
  <r>
    <s v="ORD0075"/>
    <d v="2025-12-05T00:00:00"/>
    <x v="50"/>
    <x v="8"/>
    <x v="0"/>
    <n v="40"/>
    <x v="7"/>
    <x v="0"/>
    <x v="4"/>
    <x v="18"/>
    <n v="4"/>
    <n v="1800"/>
    <n v="7200"/>
    <x v="8"/>
    <x v="0"/>
  </r>
  <r>
    <s v="ORD0076"/>
    <d v="2025-06-19T00:00:00"/>
    <x v="51"/>
    <x v="15"/>
    <x v="1"/>
    <n v="20"/>
    <x v="6"/>
    <x v="4"/>
    <x v="4"/>
    <x v="13"/>
    <n v="2"/>
    <n v="2500"/>
    <n v="5000"/>
    <x v="3"/>
    <x v="3"/>
  </r>
  <r>
    <s v="ORD0077"/>
    <d v="2025-03-14T00:00:00"/>
    <x v="29"/>
    <x v="17"/>
    <x v="0"/>
    <n v="33"/>
    <x v="2"/>
    <x v="0"/>
    <x v="3"/>
    <x v="7"/>
    <n v="3"/>
    <n v="500"/>
    <n v="1500"/>
    <x v="7"/>
    <x v="1"/>
  </r>
  <r>
    <s v="ORD0078"/>
    <d v="2025-11-26T00:00:00"/>
    <x v="43"/>
    <x v="6"/>
    <x v="0"/>
    <n v="44"/>
    <x v="2"/>
    <x v="0"/>
    <x v="3"/>
    <x v="14"/>
    <n v="2"/>
    <n v="900"/>
    <n v="1800"/>
    <x v="5"/>
    <x v="0"/>
  </r>
  <r>
    <s v="ORD0079"/>
    <d v="2025-02-03T00:00:00"/>
    <x v="52"/>
    <x v="9"/>
    <x v="0"/>
    <n v="27"/>
    <x v="1"/>
    <x v="1"/>
    <x v="3"/>
    <x v="14"/>
    <n v="4"/>
    <n v="900"/>
    <n v="3600"/>
    <x v="6"/>
    <x v="1"/>
  </r>
  <r>
    <s v="ORD0080"/>
    <d v="2025-12-16T00:00:00"/>
    <x v="53"/>
    <x v="18"/>
    <x v="1"/>
    <n v="52"/>
    <x v="2"/>
    <x v="0"/>
    <x v="4"/>
    <x v="19"/>
    <n v="5"/>
    <n v="3000"/>
    <n v="15000"/>
    <x v="8"/>
    <x v="2"/>
  </r>
  <r>
    <s v="ORD0081"/>
    <d v="2025-09-01T00:00:00"/>
    <x v="17"/>
    <x v="4"/>
    <x v="0"/>
    <n v="39"/>
    <x v="9"/>
    <x v="5"/>
    <x v="0"/>
    <x v="11"/>
    <n v="1"/>
    <n v="800"/>
    <n v="800"/>
    <x v="11"/>
    <x v="0"/>
  </r>
  <r>
    <s v="ORD0082"/>
    <d v="2025-01-21T00:00:00"/>
    <x v="31"/>
    <x v="3"/>
    <x v="1"/>
    <n v="55"/>
    <x v="0"/>
    <x v="0"/>
    <x v="3"/>
    <x v="14"/>
    <n v="3"/>
    <n v="900"/>
    <n v="2700"/>
    <x v="0"/>
    <x v="2"/>
  </r>
  <r>
    <s v="ORD0083"/>
    <d v="2025-10-07T00:00:00"/>
    <x v="23"/>
    <x v="18"/>
    <x v="1"/>
    <n v="21"/>
    <x v="5"/>
    <x v="3"/>
    <x v="0"/>
    <x v="9"/>
    <n v="4"/>
    <n v="2500"/>
    <n v="10000"/>
    <x v="1"/>
    <x v="3"/>
  </r>
  <r>
    <s v="ORD0084"/>
    <d v="2025-04-23T00:00:00"/>
    <x v="54"/>
    <x v="8"/>
    <x v="0"/>
    <n v="47"/>
    <x v="1"/>
    <x v="1"/>
    <x v="1"/>
    <x v="17"/>
    <n v="4"/>
    <n v="1800"/>
    <n v="7200"/>
    <x v="9"/>
    <x v="2"/>
  </r>
  <r>
    <s v="ORD0085"/>
    <d v="2025-06-06T00:00:00"/>
    <x v="55"/>
    <x v="15"/>
    <x v="1"/>
    <n v="44"/>
    <x v="9"/>
    <x v="5"/>
    <x v="0"/>
    <x v="9"/>
    <n v="1"/>
    <n v="2500"/>
    <n v="2500"/>
    <x v="3"/>
    <x v="0"/>
  </r>
  <r>
    <s v="ORD0086"/>
    <d v="2025-10-02T00:00:00"/>
    <x v="51"/>
    <x v="19"/>
    <x v="0"/>
    <n v="29"/>
    <x v="3"/>
    <x v="1"/>
    <x v="4"/>
    <x v="18"/>
    <n v="1"/>
    <n v="1800"/>
    <n v="1800"/>
    <x v="1"/>
    <x v="1"/>
  </r>
  <r>
    <s v="ORD0087"/>
    <d v="2025-04-24T00:00:00"/>
    <x v="56"/>
    <x v="15"/>
    <x v="1"/>
    <n v="32"/>
    <x v="1"/>
    <x v="1"/>
    <x v="3"/>
    <x v="16"/>
    <n v="1"/>
    <n v="300"/>
    <n v="300"/>
    <x v="9"/>
    <x v="1"/>
  </r>
  <r>
    <s v="ORD0088"/>
    <d v="2025-01-14T00:00:00"/>
    <x v="56"/>
    <x v="9"/>
    <x v="0"/>
    <n v="21"/>
    <x v="7"/>
    <x v="0"/>
    <x v="0"/>
    <x v="11"/>
    <n v="1"/>
    <n v="800"/>
    <n v="800"/>
    <x v="0"/>
    <x v="3"/>
  </r>
  <r>
    <s v="ORD0089"/>
    <d v="2025-12-28T00:00:00"/>
    <x v="9"/>
    <x v="16"/>
    <x v="0"/>
    <n v="27"/>
    <x v="3"/>
    <x v="1"/>
    <x v="4"/>
    <x v="19"/>
    <n v="1"/>
    <n v="3000"/>
    <n v="3000"/>
    <x v="8"/>
    <x v="1"/>
  </r>
  <r>
    <s v="ORD0090"/>
    <d v="2025-04-27T00:00:00"/>
    <x v="57"/>
    <x v="18"/>
    <x v="1"/>
    <n v="33"/>
    <x v="6"/>
    <x v="4"/>
    <x v="2"/>
    <x v="12"/>
    <n v="3"/>
    <n v="600"/>
    <n v="1800"/>
    <x v="9"/>
    <x v="1"/>
  </r>
  <r>
    <s v="ORD0091"/>
    <d v="2025-05-12T00:00:00"/>
    <x v="58"/>
    <x v="19"/>
    <x v="0"/>
    <n v="21"/>
    <x v="0"/>
    <x v="0"/>
    <x v="4"/>
    <x v="10"/>
    <n v="3"/>
    <n v="600"/>
    <n v="1800"/>
    <x v="10"/>
    <x v="3"/>
  </r>
  <r>
    <s v="ORD0092"/>
    <d v="2025-02-24T00:00:00"/>
    <x v="55"/>
    <x v="15"/>
    <x v="1"/>
    <n v="52"/>
    <x v="6"/>
    <x v="4"/>
    <x v="1"/>
    <x v="8"/>
    <n v="3"/>
    <n v="900"/>
    <n v="2700"/>
    <x v="6"/>
    <x v="2"/>
  </r>
  <r>
    <s v="ORD0093"/>
    <d v="2025-11-16T00:00:00"/>
    <x v="30"/>
    <x v="19"/>
    <x v="0"/>
    <n v="26"/>
    <x v="3"/>
    <x v="1"/>
    <x v="0"/>
    <x v="4"/>
    <n v="4"/>
    <n v="1500"/>
    <n v="6000"/>
    <x v="5"/>
    <x v="1"/>
  </r>
  <r>
    <s v="ORD0094"/>
    <d v="2025-07-15T00:00:00"/>
    <x v="15"/>
    <x v="19"/>
    <x v="0"/>
    <n v="35"/>
    <x v="8"/>
    <x v="3"/>
    <x v="1"/>
    <x v="8"/>
    <n v="3"/>
    <n v="900"/>
    <n v="2700"/>
    <x v="4"/>
    <x v="0"/>
  </r>
  <r>
    <s v="ORD0095"/>
    <d v="2025-04-07T00:00:00"/>
    <x v="38"/>
    <x v="4"/>
    <x v="0"/>
    <n v="26"/>
    <x v="0"/>
    <x v="0"/>
    <x v="3"/>
    <x v="16"/>
    <n v="3"/>
    <n v="300"/>
    <n v="900"/>
    <x v="9"/>
    <x v="1"/>
  </r>
  <r>
    <s v="ORD0096"/>
    <d v="2025-04-05T00:00:00"/>
    <x v="59"/>
    <x v="17"/>
    <x v="0"/>
    <n v="30"/>
    <x v="1"/>
    <x v="1"/>
    <x v="1"/>
    <x v="8"/>
    <n v="4"/>
    <n v="900"/>
    <n v="3600"/>
    <x v="9"/>
    <x v="1"/>
  </r>
  <r>
    <s v="ORD0097"/>
    <d v="2025-07-03T00:00:00"/>
    <x v="60"/>
    <x v="12"/>
    <x v="1"/>
    <n v="34"/>
    <x v="4"/>
    <x v="2"/>
    <x v="3"/>
    <x v="7"/>
    <n v="4"/>
    <n v="500"/>
    <n v="2000"/>
    <x v="4"/>
    <x v="1"/>
  </r>
  <r>
    <s v="ORD0098"/>
    <d v="2025-07-06T00:00:00"/>
    <x v="21"/>
    <x v="1"/>
    <x v="1"/>
    <n v="45"/>
    <x v="5"/>
    <x v="3"/>
    <x v="3"/>
    <x v="16"/>
    <n v="3"/>
    <n v="300"/>
    <n v="900"/>
    <x v="4"/>
    <x v="2"/>
  </r>
  <r>
    <s v="ORD0099"/>
    <d v="2025-03-14T00:00:00"/>
    <x v="50"/>
    <x v="7"/>
    <x v="1"/>
    <n v="31"/>
    <x v="6"/>
    <x v="4"/>
    <x v="1"/>
    <x v="1"/>
    <n v="2"/>
    <n v="1200"/>
    <n v="2400"/>
    <x v="7"/>
    <x v="1"/>
  </r>
  <r>
    <s v="ORD0100"/>
    <d v="2025-07-31T00:00:00"/>
    <x v="2"/>
    <x v="11"/>
    <x v="1"/>
    <n v="50"/>
    <x v="7"/>
    <x v="0"/>
    <x v="0"/>
    <x v="11"/>
    <n v="2"/>
    <n v="800"/>
    <n v="1600"/>
    <x v="4"/>
    <x v="2"/>
  </r>
  <r>
    <s v="ORD0101"/>
    <d v="2025-04-06T00:00:00"/>
    <x v="36"/>
    <x v="5"/>
    <x v="1"/>
    <n v="23"/>
    <x v="3"/>
    <x v="1"/>
    <x v="4"/>
    <x v="10"/>
    <n v="5"/>
    <n v="600"/>
    <n v="3000"/>
    <x v="9"/>
    <x v="3"/>
  </r>
  <r>
    <s v="ORD0102"/>
    <d v="2025-02-11T00:00:00"/>
    <x v="32"/>
    <x v="14"/>
    <x v="0"/>
    <n v="48"/>
    <x v="1"/>
    <x v="1"/>
    <x v="4"/>
    <x v="10"/>
    <n v="2"/>
    <n v="600"/>
    <n v="1200"/>
    <x v="6"/>
    <x v="2"/>
  </r>
  <r>
    <s v="ORD0103"/>
    <d v="2025-01-01T00:00:00"/>
    <x v="4"/>
    <x v="0"/>
    <x v="0"/>
    <n v="50"/>
    <x v="0"/>
    <x v="0"/>
    <x v="2"/>
    <x v="6"/>
    <n v="2"/>
    <n v="1500"/>
    <n v="3000"/>
    <x v="0"/>
    <x v="2"/>
  </r>
  <r>
    <s v="ORD0104"/>
    <d v="2025-07-11T00:00:00"/>
    <x v="4"/>
    <x v="17"/>
    <x v="0"/>
    <n v="18"/>
    <x v="4"/>
    <x v="2"/>
    <x v="0"/>
    <x v="0"/>
    <n v="1"/>
    <n v="5000"/>
    <n v="5000"/>
    <x v="4"/>
    <x v="3"/>
  </r>
  <r>
    <s v="ORD0105"/>
    <d v="2025-08-22T00:00:00"/>
    <x v="61"/>
    <x v="9"/>
    <x v="0"/>
    <n v="37"/>
    <x v="6"/>
    <x v="4"/>
    <x v="2"/>
    <x v="3"/>
    <n v="4"/>
    <n v="350"/>
    <n v="1400"/>
    <x v="2"/>
    <x v="0"/>
  </r>
  <r>
    <s v="ORD0106"/>
    <d v="2025-08-22T00:00:00"/>
    <x v="21"/>
    <x v="1"/>
    <x v="1"/>
    <n v="31"/>
    <x v="3"/>
    <x v="1"/>
    <x v="4"/>
    <x v="18"/>
    <n v="5"/>
    <n v="1800"/>
    <n v="9000"/>
    <x v="2"/>
    <x v="1"/>
  </r>
  <r>
    <s v="ORD0107"/>
    <d v="2025-12-01T00:00:00"/>
    <x v="62"/>
    <x v="6"/>
    <x v="0"/>
    <n v="55"/>
    <x v="6"/>
    <x v="4"/>
    <x v="4"/>
    <x v="19"/>
    <n v="4"/>
    <n v="3000"/>
    <n v="12000"/>
    <x v="8"/>
    <x v="2"/>
  </r>
  <r>
    <s v="ORD0108"/>
    <d v="2025-03-21T00:00:00"/>
    <x v="58"/>
    <x v="16"/>
    <x v="0"/>
    <n v="52"/>
    <x v="1"/>
    <x v="1"/>
    <x v="4"/>
    <x v="18"/>
    <n v="4"/>
    <n v="1800"/>
    <n v="7200"/>
    <x v="7"/>
    <x v="2"/>
  </r>
  <r>
    <s v="ORD0109"/>
    <d v="2025-03-08T00:00:00"/>
    <x v="63"/>
    <x v="7"/>
    <x v="1"/>
    <n v="50"/>
    <x v="1"/>
    <x v="1"/>
    <x v="1"/>
    <x v="17"/>
    <n v="5"/>
    <n v="1800"/>
    <n v="9000"/>
    <x v="7"/>
    <x v="2"/>
  </r>
  <r>
    <s v="ORD0110"/>
    <d v="2025-02-09T00:00:00"/>
    <x v="5"/>
    <x v="8"/>
    <x v="0"/>
    <n v="32"/>
    <x v="5"/>
    <x v="3"/>
    <x v="2"/>
    <x v="6"/>
    <n v="5"/>
    <n v="1500"/>
    <n v="7500"/>
    <x v="6"/>
    <x v="1"/>
  </r>
  <r>
    <s v="ORD0111"/>
    <d v="2025-06-23T00:00:00"/>
    <x v="35"/>
    <x v="9"/>
    <x v="0"/>
    <n v="33"/>
    <x v="3"/>
    <x v="1"/>
    <x v="1"/>
    <x v="17"/>
    <n v="3"/>
    <n v="1800"/>
    <n v="5400"/>
    <x v="3"/>
    <x v="1"/>
  </r>
  <r>
    <s v="ORD0112"/>
    <d v="2025-03-28T00:00:00"/>
    <x v="33"/>
    <x v="16"/>
    <x v="0"/>
    <n v="38"/>
    <x v="1"/>
    <x v="1"/>
    <x v="1"/>
    <x v="2"/>
    <n v="3"/>
    <n v="700"/>
    <n v="2100"/>
    <x v="7"/>
    <x v="0"/>
  </r>
  <r>
    <s v="ORD0113"/>
    <d v="2025-07-21T00:00:00"/>
    <x v="56"/>
    <x v="8"/>
    <x v="0"/>
    <n v="38"/>
    <x v="7"/>
    <x v="0"/>
    <x v="3"/>
    <x v="14"/>
    <n v="5"/>
    <n v="900"/>
    <n v="4500"/>
    <x v="4"/>
    <x v="0"/>
  </r>
  <r>
    <s v="ORD0114"/>
    <d v="2025-01-24T00:00:00"/>
    <x v="58"/>
    <x v="2"/>
    <x v="1"/>
    <n v="43"/>
    <x v="5"/>
    <x v="3"/>
    <x v="4"/>
    <x v="18"/>
    <n v="1"/>
    <n v="1800"/>
    <n v="1800"/>
    <x v="0"/>
    <x v="0"/>
  </r>
  <r>
    <s v="ORD0115"/>
    <d v="2025-11-09T00:00:00"/>
    <x v="27"/>
    <x v="4"/>
    <x v="0"/>
    <n v="39"/>
    <x v="9"/>
    <x v="5"/>
    <x v="1"/>
    <x v="2"/>
    <n v="3"/>
    <n v="700"/>
    <n v="2100"/>
    <x v="5"/>
    <x v="0"/>
  </r>
  <r>
    <s v="ORD0116"/>
    <d v="2025-02-09T00:00:00"/>
    <x v="64"/>
    <x v="4"/>
    <x v="0"/>
    <n v="28"/>
    <x v="7"/>
    <x v="0"/>
    <x v="3"/>
    <x v="16"/>
    <n v="1"/>
    <n v="300"/>
    <n v="300"/>
    <x v="6"/>
    <x v="1"/>
  </r>
  <r>
    <s v="ORD0117"/>
    <d v="2025-05-26T00:00:00"/>
    <x v="65"/>
    <x v="9"/>
    <x v="0"/>
    <n v="41"/>
    <x v="3"/>
    <x v="1"/>
    <x v="0"/>
    <x v="4"/>
    <n v="1"/>
    <n v="1500"/>
    <n v="1500"/>
    <x v="10"/>
    <x v="0"/>
  </r>
  <r>
    <s v="ORD0118"/>
    <d v="2025-08-28T00:00:00"/>
    <x v="37"/>
    <x v="16"/>
    <x v="0"/>
    <n v="26"/>
    <x v="2"/>
    <x v="0"/>
    <x v="4"/>
    <x v="19"/>
    <n v="3"/>
    <n v="3000"/>
    <n v="9000"/>
    <x v="2"/>
    <x v="1"/>
  </r>
  <r>
    <s v="ORD0119"/>
    <d v="2025-11-08T00:00:00"/>
    <x v="56"/>
    <x v="1"/>
    <x v="1"/>
    <n v="31"/>
    <x v="2"/>
    <x v="0"/>
    <x v="1"/>
    <x v="8"/>
    <n v="1"/>
    <n v="900"/>
    <n v="900"/>
    <x v="5"/>
    <x v="1"/>
  </r>
  <r>
    <s v="ORD0120"/>
    <d v="2025-06-14T00:00:00"/>
    <x v="45"/>
    <x v="7"/>
    <x v="1"/>
    <n v="33"/>
    <x v="3"/>
    <x v="1"/>
    <x v="1"/>
    <x v="17"/>
    <n v="5"/>
    <n v="1800"/>
    <n v="9000"/>
    <x v="3"/>
    <x v="1"/>
  </r>
  <r>
    <s v="ORD0121"/>
    <d v="2025-09-29T00:00:00"/>
    <x v="12"/>
    <x v="16"/>
    <x v="0"/>
    <n v="38"/>
    <x v="6"/>
    <x v="4"/>
    <x v="2"/>
    <x v="6"/>
    <n v="2"/>
    <n v="1500"/>
    <n v="3000"/>
    <x v="11"/>
    <x v="0"/>
  </r>
  <r>
    <s v="ORD0122"/>
    <d v="2025-08-09T00:00:00"/>
    <x v="42"/>
    <x v="16"/>
    <x v="0"/>
    <n v="31"/>
    <x v="2"/>
    <x v="0"/>
    <x v="4"/>
    <x v="13"/>
    <n v="2"/>
    <n v="2500"/>
    <n v="5000"/>
    <x v="2"/>
    <x v="1"/>
  </r>
  <r>
    <s v="ORD0123"/>
    <d v="2025-05-29T00:00:00"/>
    <x v="66"/>
    <x v="3"/>
    <x v="1"/>
    <n v="32"/>
    <x v="3"/>
    <x v="1"/>
    <x v="3"/>
    <x v="14"/>
    <n v="3"/>
    <n v="900"/>
    <n v="2700"/>
    <x v="10"/>
    <x v="1"/>
  </r>
  <r>
    <s v="ORD0124"/>
    <d v="2025-01-01T00:00:00"/>
    <x v="18"/>
    <x v="19"/>
    <x v="0"/>
    <n v="46"/>
    <x v="3"/>
    <x v="1"/>
    <x v="0"/>
    <x v="9"/>
    <n v="3"/>
    <n v="2500"/>
    <n v="7500"/>
    <x v="0"/>
    <x v="2"/>
  </r>
  <r>
    <s v="ORD0125"/>
    <d v="2025-07-30T00:00:00"/>
    <x v="67"/>
    <x v="11"/>
    <x v="1"/>
    <n v="55"/>
    <x v="7"/>
    <x v="0"/>
    <x v="2"/>
    <x v="6"/>
    <n v="3"/>
    <n v="1500"/>
    <n v="4500"/>
    <x v="4"/>
    <x v="2"/>
  </r>
  <r>
    <s v="ORD0126"/>
    <d v="2025-07-15T00:00:00"/>
    <x v="27"/>
    <x v="4"/>
    <x v="0"/>
    <n v="27"/>
    <x v="2"/>
    <x v="0"/>
    <x v="2"/>
    <x v="12"/>
    <n v="3"/>
    <n v="600"/>
    <n v="1800"/>
    <x v="4"/>
    <x v="1"/>
  </r>
  <r>
    <s v="ORD0127"/>
    <d v="2025-08-03T00:00:00"/>
    <x v="1"/>
    <x v="13"/>
    <x v="1"/>
    <n v="52"/>
    <x v="8"/>
    <x v="3"/>
    <x v="4"/>
    <x v="18"/>
    <n v="3"/>
    <n v="1800"/>
    <n v="5400"/>
    <x v="2"/>
    <x v="2"/>
  </r>
  <r>
    <s v="ORD0128"/>
    <d v="2025-01-19T00:00:00"/>
    <x v="68"/>
    <x v="12"/>
    <x v="1"/>
    <n v="42"/>
    <x v="8"/>
    <x v="3"/>
    <x v="1"/>
    <x v="2"/>
    <n v="2"/>
    <n v="700"/>
    <n v="1400"/>
    <x v="0"/>
    <x v="0"/>
  </r>
  <r>
    <s v="ORD0129"/>
    <d v="2025-11-09T00:00:00"/>
    <x v="69"/>
    <x v="12"/>
    <x v="1"/>
    <n v="36"/>
    <x v="8"/>
    <x v="3"/>
    <x v="3"/>
    <x v="7"/>
    <n v="1"/>
    <n v="500"/>
    <n v="500"/>
    <x v="5"/>
    <x v="0"/>
  </r>
  <r>
    <s v="ORD0130"/>
    <d v="2025-09-23T00:00:00"/>
    <x v="70"/>
    <x v="13"/>
    <x v="1"/>
    <n v="24"/>
    <x v="7"/>
    <x v="0"/>
    <x v="3"/>
    <x v="15"/>
    <n v="5"/>
    <n v="700"/>
    <n v="3500"/>
    <x v="11"/>
    <x v="3"/>
  </r>
  <r>
    <s v="ORD0131"/>
    <d v="2025-05-18T00:00:00"/>
    <x v="42"/>
    <x v="2"/>
    <x v="1"/>
    <n v="38"/>
    <x v="2"/>
    <x v="0"/>
    <x v="4"/>
    <x v="13"/>
    <n v="2"/>
    <n v="2500"/>
    <n v="5000"/>
    <x v="10"/>
    <x v="0"/>
  </r>
  <r>
    <s v="ORD0132"/>
    <d v="2025-11-11T00:00:00"/>
    <x v="42"/>
    <x v="16"/>
    <x v="0"/>
    <n v="47"/>
    <x v="7"/>
    <x v="0"/>
    <x v="3"/>
    <x v="15"/>
    <n v="4"/>
    <n v="700"/>
    <n v="2800"/>
    <x v="5"/>
    <x v="2"/>
  </r>
  <r>
    <s v="ORD0133"/>
    <d v="2025-11-13T00:00:00"/>
    <x v="11"/>
    <x v="9"/>
    <x v="0"/>
    <n v="27"/>
    <x v="1"/>
    <x v="1"/>
    <x v="3"/>
    <x v="7"/>
    <n v="1"/>
    <n v="500"/>
    <n v="500"/>
    <x v="5"/>
    <x v="1"/>
  </r>
  <r>
    <s v="ORD0134"/>
    <d v="2025-01-24T00:00:00"/>
    <x v="58"/>
    <x v="15"/>
    <x v="1"/>
    <n v="26"/>
    <x v="7"/>
    <x v="0"/>
    <x v="2"/>
    <x v="5"/>
    <n v="1"/>
    <n v="800"/>
    <n v="800"/>
    <x v="0"/>
    <x v="1"/>
  </r>
  <r>
    <s v="ORD0135"/>
    <d v="2025-11-15T00:00:00"/>
    <x v="66"/>
    <x v="15"/>
    <x v="1"/>
    <n v="37"/>
    <x v="2"/>
    <x v="0"/>
    <x v="0"/>
    <x v="11"/>
    <n v="1"/>
    <n v="800"/>
    <n v="800"/>
    <x v="5"/>
    <x v="0"/>
  </r>
  <r>
    <s v="ORD0136"/>
    <d v="2025-05-15T00:00:00"/>
    <x v="56"/>
    <x v="12"/>
    <x v="1"/>
    <n v="39"/>
    <x v="9"/>
    <x v="5"/>
    <x v="4"/>
    <x v="13"/>
    <n v="5"/>
    <n v="2500"/>
    <n v="12500"/>
    <x v="10"/>
    <x v="0"/>
  </r>
  <r>
    <s v="ORD0137"/>
    <d v="2025-02-17T00:00:00"/>
    <x v="71"/>
    <x v="19"/>
    <x v="0"/>
    <n v="37"/>
    <x v="3"/>
    <x v="1"/>
    <x v="0"/>
    <x v="9"/>
    <n v="5"/>
    <n v="2500"/>
    <n v="12500"/>
    <x v="6"/>
    <x v="0"/>
  </r>
  <r>
    <s v="ORD0138"/>
    <d v="2025-01-20T00:00:00"/>
    <x v="60"/>
    <x v="17"/>
    <x v="0"/>
    <n v="40"/>
    <x v="7"/>
    <x v="0"/>
    <x v="0"/>
    <x v="9"/>
    <n v="4"/>
    <n v="2500"/>
    <n v="10000"/>
    <x v="0"/>
    <x v="0"/>
  </r>
  <r>
    <s v="ORD0139"/>
    <d v="2025-01-02T00:00:00"/>
    <x v="72"/>
    <x v="0"/>
    <x v="0"/>
    <n v="42"/>
    <x v="9"/>
    <x v="5"/>
    <x v="3"/>
    <x v="7"/>
    <n v="3"/>
    <n v="500"/>
    <n v="1500"/>
    <x v="0"/>
    <x v="0"/>
  </r>
  <r>
    <s v="ORD0140"/>
    <d v="2025-01-20T00:00:00"/>
    <x v="16"/>
    <x v="0"/>
    <x v="0"/>
    <n v="32"/>
    <x v="0"/>
    <x v="0"/>
    <x v="4"/>
    <x v="10"/>
    <n v="3"/>
    <n v="600"/>
    <n v="1800"/>
    <x v="0"/>
    <x v="1"/>
  </r>
  <r>
    <s v="ORD0141"/>
    <d v="2025-06-10T00:00:00"/>
    <x v="72"/>
    <x v="3"/>
    <x v="1"/>
    <n v="35"/>
    <x v="1"/>
    <x v="1"/>
    <x v="0"/>
    <x v="11"/>
    <n v="2"/>
    <n v="800"/>
    <n v="1600"/>
    <x v="3"/>
    <x v="0"/>
  </r>
  <r>
    <s v="ORD0142"/>
    <d v="2025-07-07T00:00:00"/>
    <x v="73"/>
    <x v="9"/>
    <x v="0"/>
    <n v="30"/>
    <x v="6"/>
    <x v="4"/>
    <x v="3"/>
    <x v="14"/>
    <n v="4"/>
    <n v="900"/>
    <n v="3600"/>
    <x v="4"/>
    <x v="1"/>
  </r>
  <r>
    <s v="ORD0143"/>
    <d v="2025-09-09T00:00:00"/>
    <x v="29"/>
    <x v="10"/>
    <x v="0"/>
    <n v="21"/>
    <x v="0"/>
    <x v="0"/>
    <x v="0"/>
    <x v="11"/>
    <n v="3"/>
    <n v="800"/>
    <n v="2400"/>
    <x v="11"/>
    <x v="3"/>
  </r>
  <r>
    <s v="ORD0144"/>
    <d v="2025-09-19T00:00:00"/>
    <x v="51"/>
    <x v="5"/>
    <x v="1"/>
    <n v="25"/>
    <x v="4"/>
    <x v="2"/>
    <x v="0"/>
    <x v="0"/>
    <n v="2"/>
    <n v="5000"/>
    <n v="10000"/>
    <x v="11"/>
    <x v="1"/>
  </r>
  <r>
    <s v="ORD0145"/>
    <d v="2025-02-04T00:00:00"/>
    <x v="74"/>
    <x v="7"/>
    <x v="1"/>
    <n v="36"/>
    <x v="7"/>
    <x v="0"/>
    <x v="2"/>
    <x v="5"/>
    <n v="4"/>
    <n v="800"/>
    <n v="3200"/>
    <x v="6"/>
    <x v="0"/>
  </r>
  <r>
    <s v="ORD0146"/>
    <d v="2025-06-23T00:00:00"/>
    <x v="72"/>
    <x v="6"/>
    <x v="0"/>
    <n v="22"/>
    <x v="5"/>
    <x v="3"/>
    <x v="3"/>
    <x v="15"/>
    <n v="2"/>
    <n v="700"/>
    <n v="1400"/>
    <x v="3"/>
    <x v="3"/>
  </r>
  <r>
    <s v="ORD0147"/>
    <d v="2025-01-23T00:00:00"/>
    <x v="66"/>
    <x v="2"/>
    <x v="1"/>
    <n v="24"/>
    <x v="3"/>
    <x v="1"/>
    <x v="4"/>
    <x v="19"/>
    <n v="3"/>
    <n v="3000"/>
    <n v="9000"/>
    <x v="0"/>
    <x v="3"/>
  </r>
  <r>
    <s v="ORD0148"/>
    <d v="2025-02-13T00:00:00"/>
    <x v="58"/>
    <x v="7"/>
    <x v="1"/>
    <n v="50"/>
    <x v="0"/>
    <x v="0"/>
    <x v="3"/>
    <x v="14"/>
    <n v="5"/>
    <n v="900"/>
    <n v="4500"/>
    <x v="6"/>
    <x v="2"/>
  </r>
  <r>
    <s v="ORD0149"/>
    <d v="2025-02-16T00:00:00"/>
    <x v="8"/>
    <x v="5"/>
    <x v="1"/>
    <n v="33"/>
    <x v="8"/>
    <x v="3"/>
    <x v="0"/>
    <x v="0"/>
    <n v="5"/>
    <n v="5000"/>
    <n v="25000"/>
    <x v="6"/>
    <x v="1"/>
  </r>
  <r>
    <s v="ORD0150"/>
    <d v="2025-07-02T00:00:00"/>
    <x v="75"/>
    <x v="13"/>
    <x v="1"/>
    <n v="46"/>
    <x v="1"/>
    <x v="1"/>
    <x v="4"/>
    <x v="18"/>
    <n v="2"/>
    <n v="1800"/>
    <n v="3600"/>
    <x v="4"/>
    <x v="2"/>
  </r>
  <r>
    <s v="ORD0151"/>
    <d v="2025-04-05T00:00:00"/>
    <x v="61"/>
    <x v="1"/>
    <x v="1"/>
    <n v="26"/>
    <x v="6"/>
    <x v="4"/>
    <x v="0"/>
    <x v="11"/>
    <n v="1"/>
    <n v="800"/>
    <n v="800"/>
    <x v="9"/>
    <x v="1"/>
  </r>
  <r>
    <s v="ORD0152"/>
    <d v="2025-04-09T00:00:00"/>
    <x v="45"/>
    <x v="11"/>
    <x v="1"/>
    <n v="21"/>
    <x v="0"/>
    <x v="0"/>
    <x v="0"/>
    <x v="11"/>
    <n v="1"/>
    <n v="800"/>
    <n v="800"/>
    <x v="9"/>
    <x v="3"/>
  </r>
  <r>
    <s v="ORD0153"/>
    <d v="2025-09-20T00:00:00"/>
    <x v="17"/>
    <x v="9"/>
    <x v="0"/>
    <n v="29"/>
    <x v="6"/>
    <x v="4"/>
    <x v="2"/>
    <x v="12"/>
    <n v="1"/>
    <n v="600"/>
    <n v="600"/>
    <x v="11"/>
    <x v="1"/>
  </r>
  <r>
    <s v="ORD0154"/>
    <d v="2025-02-24T00:00:00"/>
    <x v="16"/>
    <x v="1"/>
    <x v="1"/>
    <n v="38"/>
    <x v="2"/>
    <x v="0"/>
    <x v="1"/>
    <x v="1"/>
    <n v="4"/>
    <n v="1200"/>
    <n v="4800"/>
    <x v="6"/>
    <x v="0"/>
  </r>
  <r>
    <s v="ORD0155"/>
    <d v="2025-02-20T00:00:00"/>
    <x v="13"/>
    <x v="12"/>
    <x v="1"/>
    <n v="28"/>
    <x v="0"/>
    <x v="0"/>
    <x v="4"/>
    <x v="10"/>
    <n v="1"/>
    <n v="600"/>
    <n v="600"/>
    <x v="6"/>
    <x v="1"/>
  </r>
  <r>
    <s v="ORD0156"/>
    <d v="2025-12-24T00:00:00"/>
    <x v="71"/>
    <x v="11"/>
    <x v="1"/>
    <n v="41"/>
    <x v="3"/>
    <x v="1"/>
    <x v="1"/>
    <x v="8"/>
    <n v="1"/>
    <n v="900"/>
    <n v="900"/>
    <x v="8"/>
    <x v="0"/>
  </r>
  <r>
    <s v="ORD0157"/>
    <d v="2025-05-31T00:00:00"/>
    <x v="76"/>
    <x v="4"/>
    <x v="0"/>
    <n v="54"/>
    <x v="4"/>
    <x v="2"/>
    <x v="1"/>
    <x v="8"/>
    <n v="4"/>
    <n v="900"/>
    <n v="3600"/>
    <x v="10"/>
    <x v="2"/>
  </r>
  <r>
    <s v="ORD0158"/>
    <d v="2025-08-20T00:00:00"/>
    <x v="37"/>
    <x v="1"/>
    <x v="1"/>
    <n v="31"/>
    <x v="9"/>
    <x v="5"/>
    <x v="0"/>
    <x v="4"/>
    <n v="5"/>
    <n v="1500"/>
    <n v="7500"/>
    <x v="2"/>
    <x v="1"/>
  </r>
  <r>
    <s v="ORD0159"/>
    <d v="2025-09-10T00:00:00"/>
    <x v="77"/>
    <x v="1"/>
    <x v="1"/>
    <n v="31"/>
    <x v="6"/>
    <x v="4"/>
    <x v="2"/>
    <x v="3"/>
    <n v="1"/>
    <n v="350"/>
    <n v="350"/>
    <x v="11"/>
    <x v="1"/>
  </r>
  <r>
    <s v="ORD0160"/>
    <d v="2025-02-02T00:00:00"/>
    <x v="78"/>
    <x v="9"/>
    <x v="0"/>
    <n v="40"/>
    <x v="1"/>
    <x v="1"/>
    <x v="2"/>
    <x v="5"/>
    <n v="4"/>
    <n v="800"/>
    <n v="3200"/>
    <x v="6"/>
    <x v="0"/>
  </r>
  <r>
    <s v="ORD0161"/>
    <d v="2025-09-29T00:00:00"/>
    <x v="17"/>
    <x v="2"/>
    <x v="1"/>
    <n v="19"/>
    <x v="2"/>
    <x v="0"/>
    <x v="2"/>
    <x v="3"/>
    <n v="2"/>
    <n v="350"/>
    <n v="700"/>
    <x v="11"/>
    <x v="3"/>
  </r>
  <r>
    <s v="ORD0162"/>
    <d v="2025-08-30T00:00:00"/>
    <x v="15"/>
    <x v="14"/>
    <x v="0"/>
    <n v="24"/>
    <x v="7"/>
    <x v="0"/>
    <x v="3"/>
    <x v="15"/>
    <n v="2"/>
    <n v="700"/>
    <n v="1400"/>
    <x v="2"/>
    <x v="3"/>
  </r>
  <r>
    <s v="ORD0163"/>
    <d v="2025-06-17T00:00:00"/>
    <x v="9"/>
    <x v="1"/>
    <x v="1"/>
    <n v="35"/>
    <x v="6"/>
    <x v="4"/>
    <x v="3"/>
    <x v="16"/>
    <n v="1"/>
    <n v="300"/>
    <n v="300"/>
    <x v="3"/>
    <x v="0"/>
  </r>
  <r>
    <s v="ORD0164"/>
    <d v="2025-09-13T00:00:00"/>
    <x v="76"/>
    <x v="19"/>
    <x v="0"/>
    <n v="38"/>
    <x v="5"/>
    <x v="3"/>
    <x v="1"/>
    <x v="1"/>
    <n v="1"/>
    <n v="1200"/>
    <n v="1200"/>
    <x v="11"/>
    <x v="0"/>
  </r>
  <r>
    <s v="ORD0165"/>
    <d v="2025-12-18T00:00:00"/>
    <x v="79"/>
    <x v="5"/>
    <x v="1"/>
    <n v="18"/>
    <x v="3"/>
    <x v="1"/>
    <x v="0"/>
    <x v="4"/>
    <n v="3"/>
    <n v="1500"/>
    <n v="4500"/>
    <x v="8"/>
    <x v="3"/>
  </r>
  <r>
    <s v="ORD0166"/>
    <d v="2025-03-09T00:00:00"/>
    <x v="13"/>
    <x v="5"/>
    <x v="1"/>
    <n v="43"/>
    <x v="5"/>
    <x v="3"/>
    <x v="3"/>
    <x v="7"/>
    <n v="3"/>
    <n v="500"/>
    <n v="1500"/>
    <x v="7"/>
    <x v="0"/>
  </r>
  <r>
    <s v="ORD0167"/>
    <d v="2025-09-15T00:00:00"/>
    <x v="80"/>
    <x v="6"/>
    <x v="0"/>
    <n v="30"/>
    <x v="3"/>
    <x v="1"/>
    <x v="0"/>
    <x v="4"/>
    <n v="2"/>
    <n v="1500"/>
    <n v="3000"/>
    <x v="11"/>
    <x v="1"/>
  </r>
  <r>
    <s v="ORD0168"/>
    <d v="2025-11-23T00:00:00"/>
    <x v="81"/>
    <x v="16"/>
    <x v="0"/>
    <n v="23"/>
    <x v="1"/>
    <x v="1"/>
    <x v="0"/>
    <x v="0"/>
    <n v="5"/>
    <n v="5000"/>
    <n v="25000"/>
    <x v="5"/>
    <x v="3"/>
  </r>
  <r>
    <s v="ORD0169"/>
    <d v="2025-11-24T00:00:00"/>
    <x v="18"/>
    <x v="9"/>
    <x v="0"/>
    <n v="30"/>
    <x v="4"/>
    <x v="2"/>
    <x v="3"/>
    <x v="15"/>
    <n v="3"/>
    <n v="700"/>
    <n v="2100"/>
    <x v="5"/>
    <x v="1"/>
  </r>
  <r>
    <s v="ORD0170"/>
    <d v="2025-12-25T00:00:00"/>
    <x v="80"/>
    <x v="11"/>
    <x v="1"/>
    <n v="46"/>
    <x v="1"/>
    <x v="1"/>
    <x v="0"/>
    <x v="9"/>
    <n v="4"/>
    <n v="2500"/>
    <n v="10000"/>
    <x v="8"/>
    <x v="2"/>
  </r>
  <r>
    <s v="ORD0171"/>
    <d v="2025-07-14T00:00:00"/>
    <x v="35"/>
    <x v="16"/>
    <x v="0"/>
    <n v="33"/>
    <x v="4"/>
    <x v="2"/>
    <x v="0"/>
    <x v="0"/>
    <n v="2"/>
    <n v="5000"/>
    <n v="10000"/>
    <x v="4"/>
    <x v="1"/>
  </r>
  <r>
    <s v="ORD0172"/>
    <d v="2025-07-03T00:00:00"/>
    <x v="12"/>
    <x v="11"/>
    <x v="1"/>
    <n v="19"/>
    <x v="2"/>
    <x v="0"/>
    <x v="4"/>
    <x v="19"/>
    <n v="3"/>
    <n v="3000"/>
    <n v="9000"/>
    <x v="4"/>
    <x v="3"/>
  </r>
  <r>
    <s v="ORD0173"/>
    <d v="2025-11-29T00:00:00"/>
    <x v="0"/>
    <x v="9"/>
    <x v="0"/>
    <n v="43"/>
    <x v="9"/>
    <x v="5"/>
    <x v="1"/>
    <x v="17"/>
    <n v="4"/>
    <n v="1800"/>
    <n v="7200"/>
    <x v="5"/>
    <x v="0"/>
  </r>
  <r>
    <s v="ORD0174"/>
    <d v="2025-11-07T00:00:00"/>
    <x v="82"/>
    <x v="11"/>
    <x v="1"/>
    <n v="42"/>
    <x v="2"/>
    <x v="0"/>
    <x v="4"/>
    <x v="18"/>
    <n v="3"/>
    <n v="1800"/>
    <n v="5400"/>
    <x v="5"/>
    <x v="0"/>
  </r>
  <r>
    <s v="ORD0175"/>
    <d v="2025-05-11T00:00:00"/>
    <x v="6"/>
    <x v="5"/>
    <x v="1"/>
    <n v="40"/>
    <x v="8"/>
    <x v="3"/>
    <x v="0"/>
    <x v="9"/>
    <n v="4"/>
    <n v="2500"/>
    <n v="10000"/>
    <x v="10"/>
    <x v="0"/>
  </r>
  <r>
    <s v="ORD0176"/>
    <d v="2025-03-22T00:00:00"/>
    <x v="31"/>
    <x v="8"/>
    <x v="0"/>
    <n v="32"/>
    <x v="5"/>
    <x v="3"/>
    <x v="4"/>
    <x v="13"/>
    <n v="1"/>
    <n v="2500"/>
    <n v="2500"/>
    <x v="7"/>
    <x v="1"/>
  </r>
  <r>
    <s v="ORD0177"/>
    <d v="2025-03-31T00:00:00"/>
    <x v="80"/>
    <x v="19"/>
    <x v="0"/>
    <n v="53"/>
    <x v="9"/>
    <x v="5"/>
    <x v="4"/>
    <x v="19"/>
    <n v="2"/>
    <n v="3000"/>
    <n v="6000"/>
    <x v="7"/>
    <x v="2"/>
  </r>
  <r>
    <s v="ORD0178"/>
    <d v="2025-01-02T00:00:00"/>
    <x v="13"/>
    <x v="9"/>
    <x v="0"/>
    <n v="47"/>
    <x v="9"/>
    <x v="5"/>
    <x v="3"/>
    <x v="16"/>
    <n v="2"/>
    <n v="300"/>
    <n v="600"/>
    <x v="0"/>
    <x v="2"/>
  </r>
  <r>
    <s v="ORD0179"/>
    <d v="2025-03-05T00:00:00"/>
    <x v="71"/>
    <x v="1"/>
    <x v="1"/>
    <n v="27"/>
    <x v="7"/>
    <x v="0"/>
    <x v="1"/>
    <x v="1"/>
    <n v="2"/>
    <n v="1200"/>
    <n v="2400"/>
    <x v="7"/>
    <x v="1"/>
  </r>
  <r>
    <s v="ORD0180"/>
    <d v="2025-04-03T00:00:00"/>
    <x v="47"/>
    <x v="9"/>
    <x v="0"/>
    <n v="21"/>
    <x v="0"/>
    <x v="0"/>
    <x v="3"/>
    <x v="16"/>
    <n v="3"/>
    <n v="300"/>
    <n v="900"/>
    <x v="9"/>
    <x v="3"/>
  </r>
  <r>
    <s v="ORD0181"/>
    <d v="2025-10-03T00:00:00"/>
    <x v="79"/>
    <x v="3"/>
    <x v="1"/>
    <n v="39"/>
    <x v="0"/>
    <x v="0"/>
    <x v="4"/>
    <x v="18"/>
    <n v="3"/>
    <n v="1800"/>
    <n v="5400"/>
    <x v="1"/>
    <x v="0"/>
  </r>
  <r>
    <s v="ORD0182"/>
    <d v="2025-09-06T00:00:00"/>
    <x v="34"/>
    <x v="13"/>
    <x v="1"/>
    <n v="19"/>
    <x v="6"/>
    <x v="4"/>
    <x v="1"/>
    <x v="8"/>
    <n v="4"/>
    <n v="900"/>
    <n v="3600"/>
    <x v="11"/>
    <x v="3"/>
  </r>
  <r>
    <s v="ORD0183"/>
    <d v="2025-12-23T00:00:00"/>
    <x v="81"/>
    <x v="1"/>
    <x v="1"/>
    <n v="47"/>
    <x v="2"/>
    <x v="0"/>
    <x v="3"/>
    <x v="14"/>
    <n v="1"/>
    <n v="900"/>
    <n v="900"/>
    <x v="8"/>
    <x v="2"/>
  </r>
  <r>
    <s v="ORD0184"/>
    <d v="2025-01-24T00:00:00"/>
    <x v="18"/>
    <x v="8"/>
    <x v="0"/>
    <n v="19"/>
    <x v="8"/>
    <x v="3"/>
    <x v="0"/>
    <x v="4"/>
    <n v="4"/>
    <n v="1500"/>
    <n v="6000"/>
    <x v="0"/>
    <x v="3"/>
  </r>
  <r>
    <s v="ORD0185"/>
    <d v="2025-04-21T00:00:00"/>
    <x v="60"/>
    <x v="19"/>
    <x v="0"/>
    <n v="54"/>
    <x v="5"/>
    <x v="3"/>
    <x v="1"/>
    <x v="2"/>
    <n v="1"/>
    <n v="700"/>
    <n v="700"/>
    <x v="9"/>
    <x v="2"/>
  </r>
  <r>
    <s v="ORD0186"/>
    <d v="2025-01-06T00:00:00"/>
    <x v="42"/>
    <x v="15"/>
    <x v="1"/>
    <n v="47"/>
    <x v="2"/>
    <x v="0"/>
    <x v="0"/>
    <x v="0"/>
    <n v="1"/>
    <n v="5000"/>
    <n v="5000"/>
    <x v="0"/>
    <x v="2"/>
  </r>
  <r>
    <s v="ORD0187"/>
    <d v="2025-12-02T00:00:00"/>
    <x v="36"/>
    <x v="17"/>
    <x v="0"/>
    <n v="47"/>
    <x v="9"/>
    <x v="5"/>
    <x v="4"/>
    <x v="18"/>
    <n v="4"/>
    <n v="1800"/>
    <n v="7200"/>
    <x v="8"/>
    <x v="2"/>
  </r>
  <r>
    <s v="ORD0188"/>
    <d v="2025-09-10T00:00:00"/>
    <x v="82"/>
    <x v="16"/>
    <x v="0"/>
    <n v="29"/>
    <x v="9"/>
    <x v="5"/>
    <x v="4"/>
    <x v="10"/>
    <n v="5"/>
    <n v="600"/>
    <n v="3000"/>
    <x v="11"/>
    <x v="1"/>
  </r>
  <r>
    <s v="ORD0189"/>
    <d v="2025-06-19T00:00:00"/>
    <x v="27"/>
    <x v="9"/>
    <x v="0"/>
    <n v="25"/>
    <x v="7"/>
    <x v="0"/>
    <x v="0"/>
    <x v="9"/>
    <n v="4"/>
    <n v="2500"/>
    <n v="10000"/>
    <x v="3"/>
    <x v="1"/>
  </r>
  <r>
    <s v="ORD0190"/>
    <d v="2025-04-27T00:00:00"/>
    <x v="18"/>
    <x v="9"/>
    <x v="0"/>
    <n v="43"/>
    <x v="9"/>
    <x v="5"/>
    <x v="4"/>
    <x v="13"/>
    <n v="1"/>
    <n v="2500"/>
    <n v="2500"/>
    <x v="9"/>
    <x v="0"/>
  </r>
  <r>
    <s v="ORD0191"/>
    <d v="2025-01-19T00:00:00"/>
    <x v="78"/>
    <x v="9"/>
    <x v="0"/>
    <n v="46"/>
    <x v="8"/>
    <x v="3"/>
    <x v="3"/>
    <x v="14"/>
    <n v="2"/>
    <n v="900"/>
    <n v="1800"/>
    <x v="0"/>
    <x v="2"/>
  </r>
  <r>
    <s v="ORD0192"/>
    <d v="2025-08-12T00:00:00"/>
    <x v="56"/>
    <x v="4"/>
    <x v="0"/>
    <n v="26"/>
    <x v="1"/>
    <x v="1"/>
    <x v="0"/>
    <x v="4"/>
    <n v="4"/>
    <n v="1500"/>
    <n v="6000"/>
    <x v="2"/>
    <x v="1"/>
  </r>
  <r>
    <s v="ORD0193"/>
    <d v="2025-10-26T00:00:00"/>
    <x v="83"/>
    <x v="0"/>
    <x v="0"/>
    <n v="51"/>
    <x v="4"/>
    <x v="2"/>
    <x v="4"/>
    <x v="18"/>
    <n v="2"/>
    <n v="1800"/>
    <n v="3600"/>
    <x v="1"/>
    <x v="2"/>
  </r>
  <r>
    <s v="ORD0194"/>
    <d v="2025-04-30T00:00:00"/>
    <x v="69"/>
    <x v="2"/>
    <x v="1"/>
    <n v="32"/>
    <x v="3"/>
    <x v="1"/>
    <x v="0"/>
    <x v="9"/>
    <n v="2"/>
    <n v="2500"/>
    <n v="5000"/>
    <x v="9"/>
    <x v="1"/>
  </r>
  <r>
    <s v="ORD0195"/>
    <d v="2025-05-25T00:00:00"/>
    <x v="77"/>
    <x v="19"/>
    <x v="0"/>
    <n v="22"/>
    <x v="8"/>
    <x v="3"/>
    <x v="1"/>
    <x v="2"/>
    <n v="5"/>
    <n v="700"/>
    <n v="3500"/>
    <x v="10"/>
    <x v="3"/>
  </r>
  <r>
    <s v="ORD0196"/>
    <d v="2025-10-01T00:00:00"/>
    <x v="47"/>
    <x v="17"/>
    <x v="0"/>
    <n v="42"/>
    <x v="5"/>
    <x v="3"/>
    <x v="0"/>
    <x v="4"/>
    <n v="4"/>
    <n v="1500"/>
    <n v="6000"/>
    <x v="1"/>
    <x v="0"/>
  </r>
  <r>
    <s v="ORD0197"/>
    <d v="2025-03-23T00:00:00"/>
    <x v="2"/>
    <x v="16"/>
    <x v="0"/>
    <n v="37"/>
    <x v="9"/>
    <x v="5"/>
    <x v="3"/>
    <x v="15"/>
    <n v="3"/>
    <n v="700"/>
    <n v="2100"/>
    <x v="7"/>
    <x v="0"/>
  </r>
  <r>
    <s v="ORD0198"/>
    <d v="2025-03-18T00:00:00"/>
    <x v="1"/>
    <x v="18"/>
    <x v="1"/>
    <n v="32"/>
    <x v="6"/>
    <x v="4"/>
    <x v="2"/>
    <x v="6"/>
    <n v="4"/>
    <n v="1500"/>
    <n v="6000"/>
    <x v="7"/>
    <x v="1"/>
  </r>
  <r>
    <s v="ORD0199"/>
    <d v="2025-05-09T00:00:00"/>
    <x v="50"/>
    <x v="10"/>
    <x v="0"/>
    <n v="55"/>
    <x v="9"/>
    <x v="5"/>
    <x v="1"/>
    <x v="2"/>
    <n v="5"/>
    <n v="700"/>
    <n v="3500"/>
    <x v="10"/>
    <x v="2"/>
  </r>
  <r>
    <s v="ORD0200"/>
    <d v="2025-09-02T00:00:00"/>
    <x v="19"/>
    <x v="19"/>
    <x v="0"/>
    <n v="23"/>
    <x v="7"/>
    <x v="0"/>
    <x v="4"/>
    <x v="13"/>
    <n v="5"/>
    <n v="2500"/>
    <n v="12500"/>
    <x v="11"/>
    <x v="3"/>
  </r>
  <r>
    <s v="ORD0201"/>
    <d v="2025-01-07T00:00:00"/>
    <x v="77"/>
    <x v="16"/>
    <x v="0"/>
    <n v="52"/>
    <x v="6"/>
    <x v="4"/>
    <x v="3"/>
    <x v="16"/>
    <n v="5"/>
    <n v="300"/>
    <n v="1500"/>
    <x v="0"/>
    <x v="2"/>
  </r>
  <r>
    <s v="ORD0202"/>
    <d v="2025-07-08T00:00:00"/>
    <x v="45"/>
    <x v="12"/>
    <x v="1"/>
    <n v="49"/>
    <x v="9"/>
    <x v="5"/>
    <x v="2"/>
    <x v="12"/>
    <n v="4"/>
    <n v="600"/>
    <n v="2400"/>
    <x v="4"/>
    <x v="2"/>
  </r>
  <r>
    <s v="ORD0203"/>
    <d v="2025-08-21T00:00:00"/>
    <x v="40"/>
    <x v="16"/>
    <x v="0"/>
    <n v="37"/>
    <x v="2"/>
    <x v="0"/>
    <x v="2"/>
    <x v="6"/>
    <n v="3"/>
    <n v="1500"/>
    <n v="4500"/>
    <x v="2"/>
    <x v="0"/>
  </r>
  <r>
    <s v="ORD0204"/>
    <d v="2025-05-01T00:00:00"/>
    <x v="62"/>
    <x v="13"/>
    <x v="1"/>
    <n v="29"/>
    <x v="8"/>
    <x v="3"/>
    <x v="2"/>
    <x v="6"/>
    <n v="5"/>
    <n v="1500"/>
    <n v="7500"/>
    <x v="10"/>
    <x v="1"/>
  </r>
  <r>
    <s v="ORD0205"/>
    <d v="2025-05-04T00:00:00"/>
    <x v="49"/>
    <x v="7"/>
    <x v="1"/>
    <n v="47"/>
    <x v="1"/>
    <x v="1"/>
    <x v="2"/>
    <x v="6"/>
    <n v="4"/>
    <n v="1500"/>
    <n v="6000"/>
    <x v="10"/>
    <x v="2"/>
  </r>
  <r>
    <s v="ORD0206"/>
    <d v="2025-07-31T00:00:00"/>
    <x v="69"/>
    <x v="13"/>
    <x v="1"/>
    <n v="22"/>
    <x v="8"/>
    <x v="3"/>
    <x v="0"/>
    <x v="4"/>
    <n v="4"/>
    <n v="1500"/>
    <n v="6000"/>
    <x v="4"/>
    <x v="3"/>
  </r>
  <r>
    <s v="ORD0207"/>
    <d v="2025-02-21T00:00:00"/>
    <x v="84"/>
    <x v="17"/>
    <x v="0"/>
    <n v="52"/>
    <x v="4"/>
    <x v="2"/>
    <x v="4"/>
    <x v="19"/>
    <n v="4"/>
    <n v="3000"/>
    <n v="12000"/>
    <x v="6"/>
    <x v="2"/>
  </r>
  <r>
    <s v="ORD0208"/>
    <d v="2025-01-10T00:00:00"/>
    <x v="85"/>
    <x v="3"/>
    <x v="1"/>
    <n v="21"/>
    <x v="5"/>
    <x v="3"/>
    <x v="0"/>
    <x v="11"/>
    <n v="2"/>
    <n v="800"/>
    <n v="1600"/>
    <x v="0"/>
    <x v="3"/>
  </r>
  <r>
    <s v="ORD0209"/>
    <d v="2025-05-07T00:00:00"/>
    <x v="36"/>
    <x v="9"/>
    <x v="0"/>
    <n v="39"/>
    <x v="0"/>
    <x v="0"/>
    <x v="3"/>
    <x v="16"/>
    <n v="5"/>
    <n v="300"/>
    <n v="1500"/>
    <x v="10"/>
    <x v="0"/>
  </r>
  <r>
    <s v="ORD0210"/>
    <d v="2025-08-21T00:00:00"/>
    <x v="86"/>
    <x v="9"/>
    <x v="0"/>
    <n v="22"/>
    <x v="2"/>
    <x v="0"/>
    <x v="3"/>
    <x v="7"/>
    <n v="4"/>
    <n v="500"/>
    <n v="2000"/>
    <x v="2"/>
    <x v="3"/>
  </r>
  <r>
    <s v="ORD0211"/>
    <d v="2025-09-26T00:00:00"/>
    <x v="72"/>
    <x v="5"/>
    <x v="1"/>
    <n v="51"/>
    <x v="4"/>
    <x v="2"/>
    <x v="3"/>
    <x v="16"/>
    <n v="5"/>
    <n v="300"/>
    <n v="1500"/>
    <x v="11"/>
    <x v="2"/>
  </r>
  <r>
    <s v="ORD0212"/>
    <d v="2025-06-20T00:00:00"/>
    <x v="18"/>
    <x v="7"/>
    <x v="1"/>
    <n v="23"/>
    <x v="9"/>
    <x v="5"/>
    <x v="0"/>
    <x v="9"/>
    <n v="1"/>
    <n v="2500"/>
    <n v="2500"/>
    <x v="3"/>
    <x v="3"/>
  </r>
  <r>
    <s v="ORD0213"/>
    <d v="2025-09-01T00:00:00"/>
    <x v="12"/>
    <x v="16"/>
    <x v="0"/>
    <n v="53"/>
    <x v="8"/>
    <x v="3"/>
    <x v="0"/>
    <x v="11"/>
    <n v="3"/>
    <n v="800"/>
    <n v="2400"/>
    <x v="11"/>
    <x v="2"/>
  </r>
  <r>
    <s v="ORD0214"/>
    <d v="2025-10-23T00:00:00"/>
    <x v="16"/>
    <x v="18"/>
    <x v="1"/>
    <n v="42"/>
    <x v="2"/>
    <x v="0"/>
    <x v="3"/>
    <x v="16"/>
    <n v="5"/>
    <n v="300"/>
    <n v="1500"/>
    <x v="1"/>
    <x v="0"/>
  </r>
  <r>
    <s v="ORD0215"/>
    <d v="2025-11-11T00:00:00"/>
    <x v="67"/>
    <x v="7"/>
    <x v="1"/>
    <n v="41"/>
    <x v="8"/>
    <x v="3"/>
    <x v="3"/>
    <x v="7"/>
    <n v="5"/>
    <n v="500"/>
    <n v="2500"/>
    <x v="5"/>
    <x v="0"/>
  </r>
  <r>
    <s v="ORD0216"/>
    <d v="2025-08-25T00:00:00"/>
    <x v="79"/>
    <x v="5"/>
    <x v="1"/>
    <n v="18"/>
    <x v="9"/>
    <x v="5"/>
    <x v="1"/>
    <x v="17"/>
    <n v="1"/>
    <n v="1800"/>
    <n v="1800"/>
    <x v="2"/>
    <x v="3"/>
  </r>
  <r>
    <s v="ORD0217"/>
    <d v="2025-09-24T00:00:00"/>
    <x v="67"/>
    <x v="14"/>
    <x v="0"/>
    <n v="45"/>
    <x v="3"/>
    <x v="1"/>
    <x v="4"/>
    <x v="18"/>
    <n v="4"/>
    <n v="1800"/>
    <n v="7200"/>
    <x v="11"/>
    <x v="2"/>
  </r>
  <r>
    <s v="ORD0218"/>
    <d v="2025-03-01T00:00:00"/>
    <x v="38"/>
    <x v="0"/>
    <x v="0"/>
    <n v="43"/>
    <x v="5"/>
    <x v="3"/>
    <x v="3"/>
    <x v="15"/>
    <n v="5"/>
    <n v="700"/>
    <n v="3500"/>
    <x v="7"/>
    <x v="0"/>
  </r>
  <r>
    <s v="ORD0219"/>
    <d v="2025-09-29T00:00:00"/>
    <x v="83"/>
    <x v="8"/>
    <x v="0"/>
    <n v="30"/>
    <x v="5"/>
    <x v="3"/>
    <x v="4"/>
    <x v="13"/>
    <n v="4"/>
    <n v="2500"/>
    <n v="10000"/>
    <x v="11"/>
    <x v="1"/>
  </r>
  <r>
    <s v="ORD0220"/>
    <d v="2025-07-12T00:00:00"/>
    <x v="66"/>
    <x v="19"/>
    <x v="0"/>
    <n v="48"/>
    <x v="3"/>
    <x v="1"/>
    <x v="1"/>
    <x v="1"/>
    <n v="2"/>
    <n v="1200"/>
    <n v="2400"/>
    <x v="4"/>
    <x v="2"/>
  </r>
  <r>
    <s v="ORD0221"/>
    <d v="2025-04-20T00:00:00"/>
    <x v="87"/>
    <x v="10"/>
    <x v="0"/>
    <n v="40"/>
    <x v="2"/>
    <x v="0"/>
    <x v="1"/>
    <x v="1"/>
    <n v="5"/>
    <n v="1200"/>
    <n v="6000"/>
    <x v="9"/>
    <x v="0"/>
  </r>
  <r>
    <s v="ORD0222"/>
    <d v="2025-12-08T00:00:00"/>
    <x v="54"/>
    <x v="1"/>
    <x v="1"/>
    <n v="25"/>
    <x v="1"/>
    <x v="1"/>
    <x v="2"/>
    <x v="12"/>
    <n v="4"/>
    <n v="600"/>
    <n v="2400"/>
    <x v="8"/>
    <x v="1"/>
  </r>
  <r>
    <s v="ORD0223"/>
    <d v="2025-06-20T00:00:00"/>
    <x v="26"/>
    <x v="16"/>
    <x v="0"/>
    <n v="30"/>
    <x v="5"/>
    <x v="3"/>
    <x v="4"/>
    <x v="18"/>
    <n v="1"/>
    <n v="1800"/>
    <n v="1800"/>
    <x v="3"/>
    <x v="1"/>
  </r>
  <r>
    <s v="ORD0224"/>
    <d v="2025-03-24T00:00:00"/>
    <x v="20"/>
    <x v="14"/>
    <x v="0"/>
    <n v="41"/>
    <x v="6"/>
    <x v="4"/>
    <x v="1"/>
    <x v="1"/>
    <n v="5"/>
    <n v="1200"/>
    <n v="6000"/>
    <x v="7"/>
    <x v="0"/>
  </r>
  <r>
    <s v="ORD0225"/>
    <d v="2025-12-04T00:00:00"/>
    <x v="19"/>
    <x v="19"/>
    <x v="0"/>
    <n v="51"/>
    <x v="2"/>
    <x v="0"/>
    <x v="1"/>
    <x v="17"/>
    <n v="1"/>
    <n v="1800"/>
    <n v="1800"/>
    <x v="8"/>
    <x v="2"/>
  </r>
  <r>
    <s v="ORD0226"/>
    <d v="2025-10-08T00:00:00"/>
    <x v="59"/>
    <x v="6"/>
    <x v="0"/>
    <n v="54"/>
    <x v="9"/>
    <x v="5"/>
    <x v="3"/>
    <x v="7"/>
    <n v="3"/>
    <n v="500"/>
    <n v="1500"/>
    <x v="1"/>
    <x v="2"/>
  </r>
  <r>
    <s v="ORD0227"/>
    <d v="2025-11-20T00:00:00"/>
    <x v="7"/>
    <x v="7"/>
    <x v="1"/>
    <n v="40"/>
    <x v="2"/>
    <x v="0"/>
    <x v="3"/>
    <x v="16"/>
    <n v="4"/>
    <n v="300"/>
    <n v="1200"/>
    <x v="5"/>
    <x v="0"/>
  </r>
  <r>
    <s v="ORD0228"/>
    <d v="2025-02-14T00:00:00"/>
    <x v="12"/>
    <x v="13"/>
    <x v="1"/>
    <n v="38"/>
    <x v="6"/>
    <x v="4"/>
    <x v="2"/>
    <x v="3"/>
    <n v="1"/>
    <n v="350"/>
    <n v="350"/>
    <x v="6"/>
    <x v="0"/>
  </r>
  <r>
    <s v="ORD0229"/>
    <d v="2025-10-15T00:00:00"/>
    <x v="25"/>
    <x v="6"/>
    <x v="0"/>
    <n v="29"/>
    <x v="0"/>
    <x v="0"/>
    <x v="1"/>
    <x v="1"/>
    <n v="3"/>
    <n v="1200"/>
    <n v="3600"/>
    <x v="1"/>
    <x v="1"/>
  </r>
  <r>
    <s v="ORD0230"/>
    <d v="2025-02-06T00:00:00"/>
    <x v="88"/>
    <x v="3"/>
    <x v="1"/>
    <n v="50"/>
    <x v="7"/>
    <x v="0"/>
    <x v="0"/>
    <x v="11"/>
    <n v="4"/>
    <n v="800"/>
    <n v="3200"/>
    <x v="6"/>
    <x v="2"/>
  </r>
  <r>
    <s v="ORD0231"/>
    <d v="2025-03-21T00:00:00"/>
    <x v="5"/>
    <x v="19"/>
    <x v="0"/>
    <n v="38"/>
    <x v="8"/>
    <x v="3"/>
    <x v="1"/>
    <x v="2"/>
    <n v="1"/>
    <n v="700"/>
    <n v="700"/>
    <x v="7"/>
    <x v="0"/>
  </r>
  <r>
    <s v="ORD0232"/>
    <d v="2025-09-23T00:00:00"/>
    <x v="2"/>
    <x v="9"/>
    <x v="0"/>
    <n v="43"/>
    <x v="5"/>
    <x v="3"/>
    <x v="2"/>
    <x v="12"/>
    <n v="2"/>
    <n v="600"/>
    <n v="1200"/>
    <x v="11"/>
    <x v="0"/>
  </r>
  <r>
    <s v="ORD0233"/>
    <d v="2025-04-24T00:00:00"/>
    <x v="71"/>
    <x v="12"/>
    <x v="1"/>
    <n v="25"/>
    <x v="7"/>
    <x v="0"/>
    <x v="1"/>
    <x v="2"/>
    <n v="5"/>
    <n v="700"/>
    <n v="3500"/>
    <x v="9"/>
    <x v="1"/>
  </r>
  <r>
    <s v="ORD0234"/>
    <d v="2025-01-26T00:00:00"/>
    <x v="89"/>
    <x v="12"/>
    <x v="1"/>
    <n v="32"/>
    <x v="1"/>
    <x v="1"/>
    <x v="2"/>
    <x v="3"/>
    <n v="3"/>
    <n v="350"/>
    <n v="1050"/>
    <x v="0"/>
    <x v="1"/>
  </r>
  <r>
    <s v="ORD0235"/>
    <d v="2025-01-09T00:00:00"/>
    <x v="70"/>
    <x v="7"/>
    <x v="1"/>
    <n v="47"/>
    <x v="5"/>
    <x v="3"/>
    <x v="2"/>
    <x v="5"/>
    <n v="1"/>
    <n v="800"/>
    <n v="800"/>
    <x v="0"/>
    <x v="2"/>
  </r>
  <r>
    <s v="ORD0236"/>
    <d v="2025-08-18T00:00:00"/>
    <x v="79"/>
    <x v="1"/>
    <x v="1"/>
    <n v="30"/>
    <x v="2"/>
    <x v="0"/>
    <x v="2"/>
    <x v="12"/>
    <n v="3"/>
    <n v="600"/>
    <n v="1800"/>
    <x v="2"/>
    <x v="1"/>
  </r>
  <r>
    <s v="ORD0237"/>
    <d v="2025-01-14T00:00:00"/>
    <x v="12"/>
    <x v="19"/>
    <x v="0"/>
    <n v="48"/>
    <x v="2"/>
    <x v="0"/>
    <x v="4"/>
    <x v="18"/>
    <n v="5"/>
    <n v="1800"/>
    <n v="9000"/>
    <x v="0"/>
    <x v="2"/>
  </r>
  <r>
    <s v="ORD0238"/>
    <d v="2025-04-10T00:00:00"/>
    <x v="3"/>
    <x v="12"/>
    <x v="1"/>
    <n v="42"/>
    <x v="4"/>
    <x v="2"/>
    <x v="0"/>
    <x v="4"/>
    <n v="3"/>
    <n v="1500"/>
    <n v="4500"/>
    <x v="9"/>
    <x v="0"/>
  </r>
  <r>
    <s v="ORD0239"/>
    <d v="2025-10-03T00:00:00"/>
    <x v="0"/>
    <x v="9"/>
    <x v="0"/>
    <n v="39"/>
    <x v="8"/>
    <x v="3"/>
    <x v="4"/>
    <x v="18"/>
    <n v="4"/>
    <n v="1800"/>
    <n v="7200"/>
    <x v="1"/>
    <x v="0"/>
  </r>
  <r>
    <s v="ORD0240"/>
    <d v="2025-04-19T00:00:00"/>
    <x v="46"/>
    <x v="11"/>
    <x v="1"/>
    <n v="23"/>
    <x v="6"/>
    <x v="4"/>
    <x v="3"/>
    <x v="16"/>
    <n v="2"/>
    <n v="300"/>
    <n v="600"/>
    <x v="9"/>
    <x v="3"/>
  </r>
  <r>
    <s v="ORD0241"/>
    <d v="2025-01-31T00:00:00"/>
    <x v="12"/>
    <x v="19"/>
    <x v="0"/>
    <n v="50"/>
    <x v="4"/>
    <x v="2"/>
    <x v="3"/>
    <x v="14"/>
    <n v="1"/>
    <n v="900"/>
    <n v="900"/>
    <x v="0"/>
    <x v="2"/>
  </r>
  <r>
    <s v="ORD0242"/>
    <d v="2025-09-11T00:00:00"/>
    <x v="65"/>
    <x v="10"/>
    <x v="0"/>
    <n v="25"/>
    <x v="8"/>
    <x v="3"/>
    <x v="4"/>
    <x v="18"/>
    <n v="1"/>
    <n v="1800"/>
    <n v="1800"/>
    <x v="11"/>
    <x v="1"/>
  </r>
  <r>
    <s v="ORD0243"/>
    <d v="2025-10-13T00:00:00"/>
    <x v="7"/>
    <x v="0"/>
    <x v="0"/>
    <n v="20"/>
    <x v="2"/>
    <x v="0"/>
    <x v="4"/>
    <x v="13"/>
    <n v="1"/>
    <n v="2500"/>
    <n v="2500"/>
    <x v="1"/>
    <x v="3"/>
  </r>
  <r>
    <s v="ORD0244"/>
    <d v="2025-04-14T00:00:00"/>
    <x v="43"/>
    <x v="11"/>
    <x v="1"/>
    <n v="30"/>
    <x v="3"/>
    <x v="1"/>
    <x v="0"/>
    <x v="4"/>
    <n v="3"/>
    <n v="1500"/>
    <n v="4500"/>
    <x v="9"/>
    <x v="1"/>
  </r>
  <r>
    <s v="ORD0245"/>
    <d v="2025-09-26T00:00:00"/>
    <x v="1"/>
    <x v="6"/>
    <x v="0"/>
    <n v="48"/>
    <x v="8"/>
    <x v="3"/>
    <x v="2"/>
    <x v="12"/>
    <n v="1"/>
    <n v="600"/>
    <n v="600"/>
    <x v="11"/>
    <x v="2"/>
  </r>
  <r>
    <s v="ORD0246"/>
    <d v="2025-07-06T00:00:00"/>
    <x v="64"/>
    <x v="18"/>
    <x v="1"/>
    <n v="28"/>
    <x v="3"/>
    <x v="1"/>
    <x v="2"/>
    <x v="6"/>
    <n v="2"/>
    <n v="1500"/>
    <n v="3000"/>
    <x v="4"/>
    <x v="1"/>
  </r>
  <r>
    <s v="ORD0247"/>
    <d v="2025-05-09T00:00:00"/>
    <x v="71"/>
    <x v="13"/>
    <x v="1"/>
    <n v="33"/>
    <x v="6"/>
    <x v="4"/>
    <x v="3"/>
    <x v="14"/>
    <n v="4"/>
    <n v="900"/>
    <n v="3600"/>
    <x v="10"/>
    <x v="1"/>
  </r>
  <r>
    <s v="ORD0248"/>
    <d v="2025-07-24T00:00:00"/>
    <x v="71"/>
    <x v="10"/>
    <x v="0"/>
    <n v="45"/>
    <x v="9"/>
    <x v="5"/>
    <x v="0"/>
    <x v="0"/>
    <n v="3"/>
    <n v="5000"/>
    <n v="15000"/>
    <x v="4"/>
    <x v="2"/>
  </r>
  <r>
    <s v="ORD0249"/>
    <d v="2025-06-25T00:00:00"/>
    <x v="5"/>
    <x v="6"/>
    <x v="0"/>
    <n v="30"/>
    <x v="1"/>
    <x v="1"/>
    <x v="1"/>
    <x v="1"/>
    <n v="3"/>
    <n v="1200"/>
    <n v="3600"/>
    <x v="3"/>
    <x v="1"/>
  </r>
  <r>
    <s v="ORD0250"/>
    <d v="2025-10-20T00:00:00"/>
    <x v="61"/>
    <x v="18"/>
    <x v="1"/>
    <n v="28"/>
    <x v="6"/>
    <x v="4"/>
    <x v="1"/>
    <x v="8"/>
    <n v="5"/>
    <n v="900"/>
    <n v="4500"/>
    <x v="1"/>
    <x v="1"/>
  </r>
  <r>
    <s v="ORD0251"/>
    <d v="2025-10-01T00:00:00"/>
    <x v="35"/>
    <x v="8"/>
    <x v="0"/>
    <n v="22"/>
    <x v="0"/>
    <x v="0"/>
    <x v="1"/>
    <x v="2"/>
    <n v="4"/>
    <n v="700"/>
    <n v="2800"/>
    <x v="1"/>
    <x v="3"/>
  </r>
  <r>
    <s v="ORD0252"/>
    <d v="2025-03-23T00:00:00"/>
    <x v="49"/>
    <x v="3"/>
    <x v="1"/>
    <n v="34"/>
    <x v="9"/>
    <x v="5"/>
    <x v="2"/>
    <x v="12"/>
    <n v="1"/>
    <n v="600"/>
    <n v="600"/>
    <x v="7"/>
    <x v="1"/>
  </r>
  <r>
    <s v="ORD0253"/>
    <d v="2025-06-29T00:00:00"/>
    <x v="1"/>
    <x v="4"/>
    <x v="0"/>
    <n v="21"/>
    <x v="9"/>
    <x v="5"/>
    <x v="1"/>
    <x v="17"/>
    <n v="4"/>
    <n v="1800"/>
    <n v="7200"/>
    <x v="3"/>
    <x v="3"/>
  </r>
  <r>
    <s v="ORD0254"/>
    <d v="2025-02-25T00:00:00"/>
    <x v="71"/>
    <x v="0"/>
    <x v="0"/>
    <n v="38"/>
    <x v="1"/>
    <x v="1"/>
    <x v="3"/>
    <x v="15"/>
    <n v="5"/>
    <n v="700"/>
    <n v="3500"/>
    <x v="6"/>
    <x v="0"/>
  </r>
  <r>
    <s v="ORD0255"/>
    <d v="2025-09-14T00:00:00"/>
    <x v="16"/>
    <x v="0"/>
    <x v="0"/>
    <n v="22"/>
    <x v="4"/>
    <x v="2"/>
    <x v="1"/>
    <x v="2"/>
    <n v="4"/>
    <n v="700"/>
    <n v="2800"/>
    <x v="11"/>
    <x v="3"/>
  </r>
  <r>
    <s v="ORD0256"/>
    <d v="2025-01-25T00:00:00"/>
    <x v="28"/>
    <x v="0"/>
    <x v="0"/>
    <n v="32"/>
    <x v="9"/>
    <x v="5"/>
    <x v="4"/>
    <x v="10"/>
    <n v="2"/>
    <n v="600"/>
    <n v="1200"/>
    <x v="0"/>
    <x v="1"/>
  </r>
  <r>
    <s v="ORD0257"/>
    <d v="2025-11-26T00:00:00"/>
    <x v="85"/>
    <x v="5"/>
    <x v="1"/>
    <n v="44"/>
    <x v="9"/>
    <x v="5"/>
    <x v="1"/>
    <x v="1"/>
    <n v="1"/>
    <n v="1200"/>
    <n v="1200"/>
    <x v="5"/>
    <x v="0"/>
  </r>
  <r>
    <s v="ORD0258"/>
    <d v="2025-05-09T00:00:00"/>
    <x v="81"/>
    <x v="9"/>
    <x v="0"/>
    <n v="23"/>
    <x v="8"/>
    <x v="3"/>
    <x v="2"/>
    <x v="12"/>
    <n v="4"/>
    <n v="600"/>
    <n v="2400"/>
    <x v="10"/>
    <x v="3"/>
  </r>
  <r>
    <s v="ORD0259"/>
    <d v="2025-04-23T00:00:00"/>
    <x v="38"/>
    <x v="17"/>
    <x v="0"/>
    <n v="41"/>
    <x v="1"/>
    <x v="1"/>
    <x v="3"/>
    <x v="15"/>
    <n v="3"/>
    <n v="700"/>
    <n v="2100"/>
    <x v="9"/>
    <x v="0"/>
  </r>
  <r>
    <s v="ORD0260"/>
    <d v="2025-09-28T00:00:00"/>
    <x v="90"/>
    <x v="11"/>
    <x v="1"/>
    <n v="44"/>
    <x v="7"/>
    <x v="0"/>
    <x v="3"/>
    <x v="15"/>
    <n v="5"/>
    <n v="700"/>
    <n v="3500"/>
    <x v="11"/>
    <x v="0"/>
  </r>
  <r>
    <s v="ORD0261"/>
    <d v="2025-08-19T00:00:00"/>
    <x v="49"/>
    <x v="17"/>
    <x v="0"/>
    <n v="40"/>
    <x v="9"/>
    <x v="5"/>
    <x v="2"/>
    <x v="6"/>
    <n v="4"/>
    <n v="1500"/>
    <n v="6000"/>
    <x v="2"/>
    <x v="0"/>
  </r>
  <r>
    <s v="ORD0262"/>
    <d v="2025-07-07T00:00:00"/>
    <x v="88"/>
    <x v="8"/>
    <x v="0"/>
    <n v="34"/>
    <x v="7"/>
    <x v="0"/>
    <x v="2"/>
    <x v="3"/>
    <n v="4"/>
    <n v="350"/>
    <n v="1400"/>
    <x v="4"/>
    <x v="1"/>
  </r>
  <r>
    <s v="ORD0263"/>
    <d v="2025-05-11T00:00:00"/>
    <x v="81"/>
    <x v="11"/>
    <x v="1"/>
    <n v="55"/>
    <x v="3"/>
    <x v="1"/>
    <x v="2"/>
    <x v="12"/>
    <n v="3"/>
    <n v="600"/>
    <n v="1800"/>
    <x v="10"/>
    <x v="2"/>
  </r>
  <r>
    <s v="ORD0264"/>
    <d v="2025-10-07T00:00:00"/>
    <x v="56"/>
    <x v="13"/>
    <x v="1"/>
    <n v="28"/>
    <x v="6"/>
    <x v="4"/>
    <x v="0"/>
    <x v="9"/>
    <n v="5"/>
    <n v="2500"/>
    <n v="12500"/>
    <x v="1"/>
    <x v="1"/>
  </r>
  <r>
    <s v="ORD0265"/>
    <d v="2025-11-09T00:00:00"/>
    <x v="57"/>
    <x v="11"/>
    <x v="1"/>
    <n v="40"/>
    <x v="1"/>
    <x v="1"/>
    <x v="1"/>
    <x v="2"/>
    <n v="4"/>
    <n v="700"/>
    <n v="2800"/>
    <x v="5"/>
    <x v="0"/>
  </r>
  <r>
    <s v="ORD0266"/>
    <d v="2025-06-28T00:00:00"/>
    <x v="15"/>
    <x v="13"/>
    <x v="1"/>
    <n v="55"/>
    <x v="0"/>
    <x v="0"/>
    <x v="1"/>
    <x v="17"/>
    <n v="3"/>
    <n v="1800"/>
    <n v="5400"/>
    <x v="3"/>
    <x v="2"/>
  </r>
  <r>
    <s v="ORD0267"/>
    <d v="2025-06-10T00:00:00"/>
    <x v="4"/>
    <x v="1"/>
    <x v="1"/>
    <n v="53"/>
    <x v="3"/>
    <x v="1"/>
    <x v="2"/>
    <x v="12"/>
    <n v="5"/>
    <n v="600"/>
    <n v="3000"/>
    <x v="3"/>
    <x v="2"/>
  </r>
  <r>
    <s v="ORD0268"/>
    <d v="2025-04-01T00:00:00"/>
    <x v="68"/>
    <x v="6"/>
    <x v="0"/>
    <n v="51"/>
    <x v="0"/>
    <x v="0"/>
    <x v="4"/>
    <x v="13"/>
    <n v="1"/>
    <n v="2500"/>
    <n v="2500"/>
    <x v="9"/>
    <x v="2"/>
  </r>
  <r>
    <s v="ORD0269"/>
    <d v="2025-06-11T00:00:00"/>
    <x v="91"/>
    <x v="13"/>
    <x v="1"/>
    <n v="21"/>
    <x v="0"/>
    <x v="0"/>
    <x v="0"/>
    <x v="11"/>
    <n v="5"/>
    <n v="800"/>
    <n v="4000"/>
    <x v="3"/>
    <x v="3"/>
  </r>
  <r>
    <s v="ORD0270"/>
    <d v="2025-05-05T00:00:00"/>
    <x v="39"/>
    <x v="1"/>
    <x v="1"/>
    <n v="45"/>
    <x v="1"/>
    <x v="1"/>
    <x v="2"/>
    <x v="5"/>
    <n v="4"/>
    <n v="800"/>
    <n v="3200"/>
    <x v="10"/>
    <x v="2"/>
  </r>
  <r>
    <s v="ORD0271"/>
    <d v="2025-01-12T00:00:00"/>
    <x v="18"/>
    <x v="12"/>
    <x v="1"/>
    <n v="43"/>
    <x v="9"/>
    <x v="5"/>
    <x v="2"/>
    <x v="5"/>
    <n v="3"/>
    <n v="800"/>
    <n v="2400"/>
    <x v="0"/>
    <x v="0"/>
  </r>
  <r>
    <s v="ORD0272"/>
    <d v="2025-12-13T00:00:00"/>
    <x v="3"/>
    <x v="7"/>
    <x v="1"/>
    <n v="41"/>
    <x v="4"/>
    <x v="2"/>
    <x v="3"/>
    <x v="15"/>
    <n v="1"/>
    <n v="700"/>
    <n v="700"/>
    <x v="8"/>
    <x v="0"/>
  </r>
  <r>
    <s v="ORD0273"/>
    <d v="2025-10-20T00:00:00"/>
    <x v="2"/>
    <x v="14"/>
    <x v="0"/>
    <n v="43"/>
    <x v="3"/>
    <x v="1"/>
    <x v="3"/>
    <x v="16"/>
    <n v="1"/>
    <n v="300"/>
    <n v="300"/>
    <x v="1"/>
    <x v="0"/>
  </r>
  <r>
    <s v="ORD0274"/>
    <d v="2025-12-19T00:00:00"/>
    <x v="81"/>
    <x v="3"/>
    <x v="1"/>
    <n v="47"/>
    <x v="4"/>
    <x v="2"/>
    <x v="4"/>
    <x v="19"/>
    <n v="4"/>
    <n v="3000"/>
    <n v="12000"/>
    <x v="8"/>
    <x v="2"/>
  </r>
  <r>
    <s v="ORD0275"/>
    <d v="2025-11-01T00:00:00"/>
    <x v="75"/>
    <x v="6"/>
    <x v="0"/>
    <n v="38"/>
    <x v="6"/>
    <x v="4"/>
    <x v="1"/>
    <x v="1"/>
    <n v="2"/>
    <n v="1200"/>
    <n v="2400"/>
    <x v="5"/>
    <x v="0"/>
  </r>
  <r>
    <s v="ORD0276"/>
    <d v="2025-06-11T00:00:00"/>
    <x v="92"/>
    <x v="16"/>
    <x v="0"/>
    <n v="20"/>
    <x v="2"/>
    <x v="0"/>
    <x v="1"/>
    <x v="17"/>
    <n v="1"/>
    <n v="1800"/>
    <n v="1800"/>
    <x v="3"/>
    <x v="3"/>
  </r>
  <r>
    <s v="ORD0277"/>
    <d v="2025-01-30T00:00:00"/>
    <x v="44"/>
    <x v="8"/>
    <x v="0"/>
    <n v="26"/>
    <x v="7"/>
    <x v="0"/>
    <x v="0"/>
    <x v="11"/>
    <n v="1"/>
    <n v="800"/>
    <n v="800"/>
    <x v="0"/>
    <x v="1"/>
  </r>
  <r>
    <s v="ORD0278"/>
    <d v="2025-12-06T00:00:00"/>
    <x v="93"/>
    <x v="0"/>
    <x v="0"/>
    <n v="51"/>
    <x v="0"/>
    <x v="0"/>
    <x v="3"/>
    <x v="14"/>
    <n v="1"/>
    <n v="900"/>
    <n v="900"/>
    <x v="8"/>
    <x v="2"/>
  </r>
  <r>
    <s v="ORD0279"/>
    <d v="2025-01-29T00:00:00"/>
    <x v="57"/>
    <x v="16"/>
    <x v="0"/>
    <n v="43"/>
    <x v="4"/>
    <x v="2"/>
    <x v="3"/>
    <x v="14"/>
    <n v="4"/>
    <n v="900"/>
    <n v="3600"/>
    <x v="0"/>
    <x v="0"/>
  </r>
  <r>
    <s v="ORD0280"/>
    <d v="2025-06-17T00:00:00"/>
    <x v="68"/>
    <x v="1"/>
    <x v="1"/>
    <n v="55"/>
    <x v="9"/>
    <x v="5"/>
    <x v="2"/>
    <x v="12"/>
    <n v="4"/>
    <n v="600"/>
    <n v="2400"/>
    <x v="3"/>
    <x v="2"/>
  </r>
  <r>
    <s v="ORD0281"/>
    <d v="2025-02-14T00:00:00"/>
    <x v="28"/>
    <x v="3"/>
    <x v="1"/>
    <n v="28"/>
    <x v="4"/>
    <x v="2"/>
    <x v="1"/>
    <x v="8"/>
    <n v="3"/>
    <n v="900"/>
    <n v="2700"/>
    <x v="6"/>
    <x v="1"/>
  </r>
  <r>
    <s v="ORD0282"/>
    <d v="2025-01-21T00:00:00"/>
    <x v="94"/>
    <x v="0"/>
    <x v="0"/>
    <n v="29"/>
    <x v="7"/>
    <x v="0"/>
    <x v="0"/>
    <x v="4"/>
    <n v="3"/>
    <n v="1500"/>
    <n v="4500"/>
    <x v="0"/>
    <x v="1"/>
  </r>
  <r>
    <s v="ORD0283"/>
    <d v="2025-04-21T00:00:00"/>
    <x v="3"/>
    <x v="0"/>
    <x v="0"/>
    <n v="28"/>
    <x v="6"/>
    <x v="4"/>
    <x v="0"/>
    <x v="9"/>
    <n v="3"/>
    <n v="2500"/>
    <n v="7500"/>
    <x v="9"/>
    <x v="1"/>
  </r>
  <r>
    <s v="ORD0284"/>
    <d v="2025-08-31T00:00:00"/>
    <x v="93"/>
    <x v="13"/>
    <x v="1"/>
    <n v="50"/>
    <x v="8"/>
    <x v="3"/>
    <x v="3"/>
    <x v="14"/>
    <n v="3"/>
    <n v="900"/>
    <n v="2700"/>
    <x v="2"/>
    <x v="2"/>
  </r>
  <r>
    <s v="ORD0285"/>
    <d v="2025-09-17T00:00:00"/>
    <x v="95"/>
    <x v="10"/>
    <x v="0"/>
    <n v="31"/>
    <x v="6"/>
    <x v="4"/>
    <x v="1"/>
    <x v="1"/>
    <n v="4"/>
    <n v="1200"/>
    <n v="4800"/>
    <x v="11"/>
    <x v="1"/>
  </r>
  <r>
    <s v="ORD0286"/>
    <d v="2025-07-14T00:00:00"/>
    <x v="46"/>
    <x v="13"/>
    <x v="1"/>
    <n v="52"/>
    <x v="8"/>
    <x v="3"/>
    <x v="0"/>
    <x v="9"/>
    <n v="1"/>
    <n v="2500"/>
    <n v="2500"/>
    <x v="4"/>
    <x v="2"/>
  </r>
  <r>
    <s v="ORD0287"/>
    <d v="2025-03-07T00:00:00"/>
    <x v="33"/>
    <x v="9"/>
    <x v="0"/>
    <n v="28"/>
    <x v="6"/>
    <x v="4"/>
    <x v="3"/>
    <x v="7"/>
    <n v="1"/>
    <n v="500"/>
    <n v="500"/>
    <x v="7"/>
    <x v="1"/>
  </r>
  <r>
    <s v="ORD0288"/>
    <d v="2025-05-22T00:00:00"/>
    <x v="9"/>
    <x v="16"/>
    <x v="0"/>
    <n v="31"/>
    <x v="6"/>
    <x v="4"/>
    <x v="4"/>
    <x v="10"/>
    <n v="1"/>
    <n v="600"/>
    <n v="600"/>
    <x v="10"/>
    <x v="1"/>
  </r>
  <r>
    <s v="ORD0289"/>
    <d v="2025-12-19T00:00:00"/>
    <x v="64"/>
    <x v="0"/>
    <x v="0"/>
    <n v="22"/>
    <x v="4"/>
    <x v="2"/>
    <x v="2"/>
    <x v="3"/>
    <n v="2"/>
    <n v="350"/>
    <n v="700"/>
    <x v="8"/>
    <x v="3"/>
  </r>
  <r>
    <s v="ORD0290"/>
    <d v="2025-05-16T00:00:00"/>
    <x v="7"/>
    <x v="19"/>
    <x v="0"/>
    <n v="21"/>
    <x v="7"/>
    <x v="0"/>
    <x v="3"/>
    <x v="14"/>
    <n v="5"/>
    <n v="900"/>
    <n v="4500"/>
    <x v="10"/>
    <x v="3"/>
  </r>
  <r>
    <s v="ORD0291"/>
    <d v="2025-02-12T00:00:00"/>
    <x v="16"/>
    <x v="18"/>
    <x v="1"/>
    <n v="45"/>
    <x v="0"/>
    <x v="0"/>
    <x v="1"/>
    <x v="17"/>
    <n v="2"/>
    <n v="1800"/>
    <n v="3600"/>
    <x v="6"/>
    <x v="2"/>
  </r>
  <r>
    <s v="ORD0292"/>
    <d v="2025-12-27T00:00:00"/>
    <x v="28"/>
    <x v="2"/>
    <x v="1"/>
    <n v="25"/>
    <x v="1"/>
    <x v="1"/>
    <x v="4"/>
    <x v="13"/>
    <n v="5"/>
    <n v="2500"/>
    <n v="12500"/>
    <x v="8"/>
    <x v="1"/>
  </r>
  <r>
    <s v="ORD0293"/>
    <d v="2025-04-11T00:00:00"/>
    <x v="69"/>
    <x v="14"/>
    <x v="0"/>
    <n v="20"/>
    <x v="2"/>
    <x v="0"/>
    <x v="1"/>
    <x v="2"/>
    <n v="2"/>
    <n v="700"/>
    <n v="1400"/>
    <x v="9"/>
    <x v="3"/>
  </r>
  <r>
    <s v="ORD0294"/>
    <d v="2025-10-30T00:00:00"/>
    <x v="13"/>
    <x v="7"/>
    <x v="1"/>
    <n v="41"/>
    <x v="3"/>
    <x v="1"/>
    <x v="3"/>
    <x v="16"/>
    <n v="1"/>
    <n v="300"/>
    <n v="300"/>
    <x v="1"/>
    <x v="0"/>
  </r>
  <r>
    <s v="ORD0295"/>
    <d v="2025-03-08T00:00:00"/>
    <x v="26"/>
    <x v="6"/>
    <x v="0"/>
    <n v="49"/>
    <x v="5"/>
    <x v="3"/>
    <x v="1"/>
    <x v="1"/>
    <n v="4"/>
    <n v="1200"/>
    <n v="4800"/>
    <x v="7"/>
    <x v="2"/>
  </r>
  <r>
    <s v="ORD0296"/>
    <d v="2025-11-16T00:00:00"/>
    <x v="65"/>
    <x v="12"/>
    <x v="1"/>
    <n v="41"/>
    <x v="7"/>
    <x v="0"/>
    <x v="2"/>
    <x v="3"/>
    <n v="2"/>
    <n v="350"/>
    <n v="700"/>
    <x v="5"/>
    <x v="0"/>
  </r>
  <r>
    <s v="ORD0297"/>
    <d v="2025-11-29T00:00:00"/>
    <x v="35"/>
    <x v="15"/>
    <x v="1"/>
    <n v="29"/>
    <x v="4"/>
    <x v="2"/>
    <x v="2"/>
    <x v="5"/>
    <n v="1"/>
    <n v="800"/>
    <n v="800"/>
    <x v="5"/>
    <x v="1"/>
  </r>
  <r>
    <s v="ORD0298"/>
    <d v="2025-08-15T00:00:00"/>
    <x v="86"/>
    <x v="9"/>
    <x v="0"/>
    <n v="30"/>
    <x v="5"/>
    <x v="3"/>
    <x v="4"/>
    <x v="10"/>
    <n v="1"/>
    <n v="600"/>
    <n v="600"/>
    <x v="2"/>
    <x v="1"/>
  </r>
  <r>
    <s v="ORD0299"/>
    <d v="2025-08-02T00:00:00"/>
    <x v="61"/>
    <x v="6"/>
    <x v="0"/>
    <n v="51"/>
    <x v="8"/>
    <x v="3"/>
    <x v="1"/>
    <x v="8"/>
    <n v="5"/>
    <n v="900"/>
    <n v="4500"/>
    <x v="2"/>
    <x v="2"/>
  </r>
  <r>
    <s v="ORD0300"/>
    <d v="2025-08-11T00:00:00"/>
    <x v="46"/>
    <x v="4"/>
    <x v="0"/>
    <n v="53"/>
    <x v="0"/>
    <x v="0"/>
    <x v="1"/>
    <x v="8"/>
    <n v="4"/>
    <n v="900"/>
    <n v="3600"/>
    <x v="2"/>
    <x v="2"/>
  </r>
  <r>
    <s v="ORD0301"/>
    <d v="2025-03-29T00:00:00"/>
    <x v="72"/>
    <x v="2"/>
    <x v="1"/>
    <n v="35"/>
    <x v="5"/>
    <x v="3"/>
    <x v="4"/>
    <x v="19"/>
    <n v="5"/>
    <n v="3000"/>
    <n v="15000"/>
    <x v="7"/>
    <x v="0"/>
  </r>
  <r>
    <s v="ORD0302"/>
    <d v="2025-05-13T00:00:00"/>
    <x v="52"/>
    <x v="5"/>
    <x v="1"/>
    <n v="24"/>
    <x v="8"/>
    <x v="3"/>
    <x v="1"/>
    <x v="1"/>
    <n v="1"/>
    <n v="1200"/>
    <n v="1200"/>
    <x v="10"/>
    <x v="3"/>
  </r>
  <r>
    <s v="ORD0303"/>
    <d v="2025-11-25T00:00:00"/>
    <x v="54"/>
    <x v="9"/>
    <x v="0"/>
    <n v="26"/>
    <x v="0"/>
    <x v="0"/>
    <x v="3"/>
    <x v="7"/>
    <n v="5"/>
    <n v="500"/>
    <n v="2500"/>
    <x v="5"/>
    <x v="1"/>
  </r>
  <r>
    <s v="ORD0304"/>
    <d v="2025-07-03T00:00:00"/>
    <x v="31"/>
    <x v="3"/>
    <x v="1"/>
    <n v="37"/>
    <x v="9"/>
    <x v="5"/>
    <x v="3"/>
    <x v="16"/>
    <n v="5"/>
    <n v="300"/>
    <n v="1500"/>
    <x v="4"/>
    <x v="0"/>
  </r>
  <r>
    <s v="ORD0305"/>
    <d v="2025-09-21T00:00:00"/>
    <x v="14"/>
    <x v="0"/>
    <x v="0"/>
    <n v="29"/>
    <x v="6"/>
    <x v="4"/>
    <x v="4"/>
    <x v="13"/>
    <n v="1"/>
    <n v="2500"/>
    <n v="2500"/>
    <x v="11"/>
    <x v="1"/>
  </r>
  <r>
    <s v="ORD0306"/>
    <d v="2025-11-09T00:00:00"/>
    <x v="66"/>
    <x v="2"/>
    <x v="1"/>
    <n v="27"/>
    <x v="2"/>
    <x v="0"/>
    <x v="4"/>
    <x v="13"/>
    <n v="4"/>
    <n v="2500"/>
    <n v="10000"/>
    <x v="5"/>
    <x v="1"/>
  </r>
  <r>
    <s v="ORD0307"/>
    <d v="2025-04-19T00:00:00"/>
    <x v="62"/>
    <x v="9"/>
    <x v="0"/>
    <n v="39"/>
    <x v="0"/>
    <x v="0"/>
    <x v="0"/>
    <x v="4"/>
    <n v="4"/>
    <n v="1500"/>
    <n v="6000"/>
    <x v="9"/>
    <x v="0"/>
  </r>
  <r>
    <s v="ORD0308"/>
    <d v="2025-11-01T00:00:00"/>
    <x v="42"/>
    <x v="3"/>
    <x v="1"/>
    <n v="36"/>
    <x v="7"/>
    <x v="0"/>
    <x v="0"/>
    <x v="9"/>
    <n v="4"/>
    <n v="2500"/>
    <n v="10000"/>
    <x v="5"/>
    <x v="0"/>
  </r>
  <r>
    <s v="ORD0309"/>
    <d v="2025-04-21T00:00:00"/>
    <x v="67"/>
    <x v="7"/>
    <x v="1"/>
    <n v="23"/>
    <x v="7"/>
    <x v="0"/>
    <x v="2"/>
    <x v="3"/>
    <n v="2"/>
    <n v="350"/>
    <n v="700"/>
    <x v="9"/>
    <x v="3"/>
  </r>
  <r>
    <s v="ORD0310"/>
    <d v="2025-12-21T00:00:00"/>
    <x v="54"/>
    <x v="14"/>
    <x v="0"/>
    <n v="43"/>
    <x v="0"/>
    <x v="0"/>
    <x v="2"/>
    <x v="3"/>
    <n v="3"/>
    <n v="350"/>
    <n v="1050"/>
    <x v="8"/>
    <x v="0"/>
  </r>
  <r>
    <s v="ORD0311"/>
    <d v="2025-05-19T00:00:00"/>
    <x v="48"/>
    <x v="19"/>
    <x v="0"/>
    <n v="51"/>
    <x v="9"/>
    <x v="5"/>
    <x v="3"/>
    <x v="15"/>
    <n v="5"/>
    <n v="700"/>
    <n v="3500"/>
    <x v="10"/>
    <x v="2"/>
  </r>
  <r>
    <s v="ORD0312"/>
    <d v="2025-03-04T00:00:00"/>
    <x v="38"/>
    <x v="4"/>
    <x v="0"/>
    <n v="47"/>
    <x v="8"/>
    <x v="3"/>
    <x v="2"/>
    <x v="12"/>
    <n v="5"/>
    <n v="600"/>
    <n v="3000"/>
    <x v="7"/>
    <x v="2"/>
  </r>
  <r>
    <s v="ORD0313"/>
    <d v="2025-07-17T00:00:00"/>
    <x v="86"/>
    <x v="16"/>
    <x v="0"/>
    <n v="47"/>
    <x v="4"/>
    <x v="2"/>
    <x v="0"/>
    <x v="0"/>
    <n v="5"/>
    <n v="5000"/>
    <n v="25000"/>
    <x v="4"/>
    <x v="2"/>
  </r>
  <r>
    <s v="ORD0314"/>
    <d v="2025-04-14T00:00:00"/>
    <x v="88"/>
    <x v="6"/>
    <x v="0"/>
    <n v="42"/>
    <x v="7"/>
    <x v="0"/>
    <x v="2"/>
    <x v="6"/>
    <n v="3"/>
    <n v="1500"/>
    <n v="4500"/>
    <x v="9"/>
    <x v="0"/>
  </r>
  <r>
    <s v="ORD0315"/>
    <d v="2025-12-27T00:00:00"/>
    <x v="52"/>
    <x v="5"/>
    <x v="1"/>
    <n v="31"/>
    <x v="7"/>
    <x v="0"/>
    <x v="3"/>
    <x v="16"/>
    <n v="2"/>
    <n v="300"/>
    <n v="600"/>
    <x v="8"/>
    <x v="1"/>
  </r>
  <r>
    <s v="ORD0316"/>
    <d v="2025-08-16T00:00:00"/>
    <x v="4"/>
    <x v="10"/>
    <x v="0"/>
    <n v="49"/>
    <x v="0"/>
    <x v="0"/>
    <x v="4"/>
    <x v="19"/>
    <n v="3"/>
    <n v="3000"/>
    <n v="9000"/>
    <x v="2"/>
    <x v="2"/>
  </r>
  <r>
    <s v="ORD0317"/>
    <d v="2025-01-01T00:00:00"/>
    <x v="33"/>
    <x v="5"/>
    <x v="1"/>
    <n v="36"/>
    <x v="7"/>
    <x v="0"/>
    <x v="4"/>
    <x v="13"/>
    <n v="4"/>
    <n v="2500"/>
    <n v="10000"/>
    <x v="0"/>
    <x v="0"/>
  </r>
  <r>
    <s v="ORD0318"/>
    <d v="2025-01-25T00:00:00"/>
    <x v="2"/>
    <x v="18"/>
    <x v="1"/>
    <n v="34"/>
    <x v="5"/>
    <x v="3"/>
    <x v="2"/>
    <x v="3"/>
    <n v="3"/>
    <n v="350"/>
    <n v="1050"/>
    <x v="0"/>
    <x v="1"/>
  </r>
  <r>
    <s v="ORD0319"/>
    <d v="2025-08-02T00:00:00"/>
    <x v="76"/>
    <x v="6"/>
    <x v="0"/>
    <n v="28"/>
    <x v="5"/>
    <x v="3"/>
    <x v="1"/>
    <x v="17"/>
    <n v="3"/>
    <n v="1800"/>
    <n v="5400"/>
    <x v="2"/>
    <x v="1"/>
  </r>
  <r>
    <s v="ORD0320"/>
    <d v="2025-08-25T00:00:00"/>
    <x v="2"/>
    <x v="18"/>
    <x v="1"/>
    <n v="53"/>
    <x v="7"/>
    <x v="0"/>
    <x v="2"/>
    <x v="6"/>
    <n v="5"/>
    <n v="1500"/>
    <n v="7500"/>
    <x v="2"/>
    <x v="2"/>
  </r>
  <r>
    <s v="ORD0321"/>
    <d v="2025-05-11T00:00:00"/>
    <x v="55"/>
    <x v="12"/>
    <x v="1"/>
    <n v="19"/>
    <x v="2"/>
    <x v="0"/>
    <x v="2"/>
    <x v="3"/>
    <n v="1"/>
    <n v="350"/>
    <n v="350"/>
    <x v="10"/>
    <x v="3"/>
  </r>
  <r>
    <s v="ORD0322"/>
    <d v="2025-08-02T00:00:00"/>
    <x v="53"/>
    <x v="2"/>
    <x v="1"/>
    <n v="36"/>
    <x v="8"/>
    <x v="3"/>
    <x v="2"/>
    <x v="5"/>
    <n v="3"/>
    <n v="800"/>
    <n v="2400"/>
    <x v="2"/>
    <x v="0"/>
  </r>
  <r>
    <s v="ORD0323"/>
    <d v="2025-12-17T00:00:00"/>
    <x v="41"/>
    <x v="7"/>
    <x v="1"/>
    <n v="19"/>
    <x v="1"/>
    <x v="1"/>
    <x v="3"/>
    <x v="15"/>
    <n v="4"/>
    <n v="700"/>
    <n v="2800"/>
    <x v="8"/>
    <x v="3"/>
  </r>
  <r>
    <s v="ORD0324"/>
    <d v="2025-09-30T00:00:00"/>
    <x v="95"/>
    <x v="1"/>
    <x v="1"/>
    <n v="46"/>
    <x v="2"/>
    <x v="0"/>
    <x v="4"/>
    <x v="19"/>
    <n v="3"/>
    <n v="3000"/>
    <n v="9000"/>
    <x v="11"/>
    <x v="2"/>
  </r>
  <r>
    <s v="ORD0325"/>
    <d v="2025-12-21T00:00:00"/>
    <x v="60"/>
    <x v="11"/>
    <x v="1"/>
    <n v="21"/>
    <x v="5"/>
    <x v="3"/>
    <x v="4"/>
    <x v="13"/>
    <n v="1"/>
    <n v="2500"/>
    <n v="2500"/>
    <x v="8"/>
    <x v="3"/>
  </r>
  <r>
    <s v="ORD0326"/>
    <d v="2025-05-09T00:00:00"/>
    <x v="14"/>
    <x v="9"/>
    <x v="0"/>
    <n v="18"/>
    <x v="3"/>
    <x v="1"/>
    <x v="1"/>
    <x v="8"/>
    <n v="3"/>
    <n v="900"/>
    <n v="2700"/>
    <x v="10"/>
    <x v="3"/>
  </r>
  <r>
    <s v="ORD0327"/>
    <d v="2025-07-11T00:00:00"/>
    <x v="66"/>
    <x v="10"/>
    <x v="0"/>
    <n v="38"/>
    <x v="1"/>
    <x v="1"/>
    <x v="3"/>
    <x v="14"/>
    <n v="5"/>
    <n v="900"/>
    <n v="4500"/>
    <x v="4"/>
    <x v="0"/>
  </r>
  <r>
    <s v="ORD0328"/>
    <d v="2025-12-19T00:00:00"/>
    <x v="84"/>
    <x v="0"/>
    <x v="0"/>
    <n v="31"/>
    <x v="3"/>
    <x v="1"/>
    <x v="3"/>
    <x v="14"/>
    <n v="4"/>
    <n v="900"/>
    <n v="3600"/>
    <x v="8"/>
    <x v="1"/>
  </r>
  <r>
    <s v="ORD0329"/>
    <d v="2025-02-05T00:00:00"/>
    <x v="19"/>
    <x v="17"/>
    <x v="0"/>
    <n v="50"/>
    <x v="4"/>
    <x v="2"/>
    <x v="1"/>
    <x v="2"/>
    <n v="4"/>
    <n v="700"/>
    <n v="2800"/>
    <x v="6"/>
    <x v="2"/>
  </r>
  <r>
    <s v="ORD0330"/>
    <d v="2025-08-16T00:00:00"/>
    <x v="73"/>
    <x v="7"/>
    <x v="1"/>
    <n v="37"/>
    <x v="0"/>
    <x v="0"/>
    <x v="1"/>
    <x v="2"/>
    <n v="5"/>
    <n v="700"/>
    <n v="3500"/>
    <x v="2"/>
    <x v="0"/>
  </r>
  <r>
    <s v="ORD0331"/>
    <d v="2025-09-01T00:00:00"/>
    <x v="25"/>
    <x v="9"/>
    <x v="0"/>
    <n v="34"/>
    <x v="9"/>
    <x v="5"/>
    <x v="0"/>
    <x v="9"/>
    <n v="1"/>
    <n v="2500"/>
    <n v="2500"/>
    <x v="11"/>
    <x v="1"/>
  </r>
  <r>
    <s v="ORD0332"/>
    <d v="2025-12-02T00:00:00"/>
    <x v="29"/>
    <x v="9"/>
    <x v="0"/>
    <n v="39"/>
    <x v="2"/>
    <x v="0"/>
    <x v="4"/>
    <x v="18"/>
    <n v="1"/>
    <n v="1800"/>
    <n v="1800"/>
    <x v="8"/>
    <x v="0"/>
  </r>
  <r>
    <s v="ORD0333"/>
    <d v="2025-09-15T00:00:00"/>
    <x v="92"/>
    <x v="2"/>
    <x v="1"/>
    <n v="27"/>
    <x v="3"/>
    <x v="1"/>
    <x v="2"/>
    <x v="3"/>
    <n v="4"/>
    <n v="350"/>
    <n v="1400"/>
    <x v="11"/>
    <x v="1"/>
  </r>
  <r>
    <s v="ORD0334"/>
    <d v="2025-08-28T00:00:00"/>
    <x v="78"/>
    <x v="6"/>
    <x v="0"/>
    <n v="25"/>
    <x v="4"/>
    <x v="2"/>
    <x v="3"/>
    <x v="14"/>
    <n v="1"/>
    <n v="900"/>
    <n v="900"/>
    <x v="2"/>
    <x v="1"/>
  </r>
  <r>
    <s v="ORD0335"/>
    <d v="2025-11-18T00:00:00"/>
    <x v="14"/>
    <x v="11"/>
    <x v="1"/>
    <n v="37"/>
    <x v="1"/>
    <x v="1"/>
    <x v="2"/>
    <x v="3"/>
    <n v="5"/>
    <n v="350"/>
    <n v="1750"/>
    <x v="5"/>
    <x v="0"/>
  </r>
  <r>
    <s v="ORD0336"/>
    <d v="2025-09-16T00:00:00"/>
    <x v="69"/>
    <x v="17"/>
    <x v="0"/>
    <n v="44"/>
    <x v="6"/>
    <x v="4"/>
    <x v="1"/>
    <x v="2"/>
    <n v="5"/>
    <n v="700"/>
    <n v="3500"/>
    <x v="11"/>
    <x v="0"/>
  </r>
  <r>
    <s v="ORD0337"/>
    <d v="2025-01-24T00:00:00"/>
    <x v="24"/>
    <x v="13"/>
    <x v="1"/>
    <n v="42"/>
    <x v="6"/>
    <x v="4"/>
    <x v="4"/>
    <x v="10"/>
    <n v="2"/>
    <n v="600"/>
    <n v="1200"/>
    <x v="0"/>
    <x v="0"/>
  </r>
  <r>
    <s v="ORD0338"/>
    <d v="2025-02-08T00:00:00"/>
    <x v="30"/>
    <x v="19"/>
    <x v="0"/>
    <n v="51"/>
    <x v="1"/>
    <x v="1"/>
    <x v="3"/>
    <x v="16"/>
    <n v="2"/>
    <n v="300"/>
    <n v="600"/>
    <x v="6"/>
    <x v="2"/>
  </r>
  <r>
    <s v="ORD0339"/>
    <d v="2025-01-02T00:00:00"/>
    <x v="14"/>
    <x v="13"/>
    <x v="1"/>
    <n v="28"/>
    <x v="1"/>
    <x v="1"/>
    <x v="0"/>
    <x v="4"/>
    <n v="1"/>
    <n v="1500"/>
    <n v="1500"/>
    <x v="0"/>
    <x v="1"/>
  </r>
  <r>
    <s v="ORD0340"/>
    <d v="2025-11-28T00:00:00"/>
    <x v="49"/>
    <x v="5"/>
    <x v="1"/>
    <n v="26"/>
    <x v="6"/>
    <x v="4"/>
    <x v="1"/>
    <x v="8"/>
    <n v="1"/>
    <n v="900"/>
    <n v="900"/>
    <x v="5"/>
    <x v="1"/>
  </r>
  <r>
    <s v="ORD0341"/>
    <d v="2025-03-02T00:00:00"/>
    <x v="26"/>
    <x v="8"/>
    <x v="0"/>
    <n v="54"/>
    <x v="1"/>
    <x v="1"/>
    <x v="0"/>
    <x v="11"/>
    <n v="2"/>
    <n v="800"/>
    <n v="1600"/>
    <x v="7"/>
    <x v="2"/>
  </r>
  <r>
    <s v="ORD0342"/>
    <d v="2025-11-29T00:00:00"/>
    <x v="64"/>
    <x v="5"/>
    <x v="1"/>
    <n v="41"/>
    <x v="6"/>
    <x v="4"/>
    <x v="4"/>
    <x v="19"/>
    <n v="2"/>
    <n v="3000"/>
    <n v="6000"/>
    <x v="5"/>
    <x v="0"/>
  </r>
  <r>
    <s v="ORD0343"/>
    <d v="2025-03-19T00:00:00"/>
    <x v="49"/>
    <x v="5"/>
    <x v="1"/>
    <n v="45"/>
    <x v="9"/>
    <x v="5"/>
    <x v="2"/>
    <x v="5"/>
    <n v="2"/>
    <n v="800"/>
    <n v="1600"/>
    <x v="7"/>
    <x v="2"/>
  </r>
  <r>
    <s v="ORD0344"/>
    <d v="2025-05-04T00:00:00"/>
    <x v="10"/>
    <x v="16"/>
    <x v="0"/>
    <n v="43"/>
    <x v="9"/>
    <x v="5"/>
    <x v="2"/>
    <x v="5"/>
    <n v="5"/>
    <n v="800"/>
    <n v="4000"/>
    <x v="10"/>
    <x v="0"/>
  </r>
  <r>
    <s v="ORD0345"/>
    <d v="2025-07-13T00:00:00"/>
    <x v="12"/>
    <x v="8"/>
    <x v="0"/>
    <n v="46"/>
    <x v="4"/>
    <x v="2"/>
    <x v="4"/>
    <x v="10"/>
    <n v="3"/>
    <n v="600"/>
    <n v="1800"/>
    <x v="4"/>
    <x v="2"/>
  </r>
  <r>
    <s v="ORD0346"/>
    <d v="2025-06-03T00:00:00"/>
    <x v="51"/>
    <x v="7"/>
    <x v="1"/>
    <n v="37"/>
    <x v="3"/>
    <x v="1"/>
    <x v="1"/>
    <x v="1"/>
    <n v="5"/>
    <n v="1200"/>
    <n v="6000"/>
    <x v="3"/>
    <x v="0"/>
  </r>
  <r>
    <s v="ORD0347"/>
    <d v="2025-09-16T00:00:00"/>
    <x v="76"/>
    <x v="4"/>
    <x v="0"/>
    <n v="35"/>
    <x v="0"/>
    <x v="0"/>
    <x v="2"/>
    <x v="6"/>
    <n v="3"/>
    <n v="1500"/>
    <n v="4500"/>
    <x v="11"/>
    <x v="0"/>
  </r>
  <r>
    <s v="ORD0348"/>
    <d v="2025-05-19T00:00:00"/>
    <x v="1"/>
    <x v="11"/>
    <x v="1"/>
    <n v="26"/>
    <x v="2"/>
    <x v="0"/>
    <x v="1"/>
    <x v="8"/>
    <n v="5"/>
    <n v="900"/>
    <n v="4500"/>
    <x v="10"/>
    <x v="1"/>
  </r>
  <r>
    <s v="ORD0349"/>
    <d v="2025-01-06T00:00:00"/>
    <x v="74"/>
    <x v="18"/>
    <x v="1"/>
    <n v="28"/>
    <x v="6"/>
    <x v="4"/>
    <x v="1"/>
    <x v="8"/>
    <n v="5"/>
    <n v="900"/>
    <n v="4500"/>
    <x v="0"/>
    <x v="1"/>
  </r>
  <r>
    <s v="ORD0350"/>
    <d v="2025-09-15T00:00:00"/>
    <x v="27"/>
    <x v="2"/>
    <x v="1"/>
    <n v="42"/>
    <x v="6"/>
    <x v="4"/>
    <x v="1"/>
    <x v="17"/>
    <n v="1"/>
    <n v="1800"/>
    <n v="1800"/>
    <x v="11"/>
    <x v="0"/>
  </r>
  <r>
    <s v="ORD0351"/>
    <d v="2025-10-15T00:00:00"/>
    <x v="63"/>
    <x v="7"/>
    <x v="1"/>
    <n v="22"/>
    <x v="0"/>
    <x v="0"/>
    <x v="2"/>
    <x v="5"/>
    <n v="2"/>
    <n v="800"/>
    <n v="1600"/>
    <x v="1"/>
    <x v="3"/>
  </r>
  <r>
    <s v="ORD0352"/>
    <d v="2025-04-01T00:00:00"/>
    <x v="34"/>
    <x v="7"/>
    <x v="1"/>
    <n v="38"/>
    <x v="3"/>
    <x v="1"/>
    <x v="4"/>
    <x v="13"/>
    <n v="4"/>
    <n v="2500"/>
    <n v="10000"/>
    <x v="9"/>
    <x v="0"/>
  </r>
  <r>
    <s v="ORD0353"/>
    <d v="2025-04-28T00:00:00"/>
    <x v="32"/>
    <x v="7"/>
    <x v="1"/>
    <n v="39"/>
    <x v="1"/>
    <x v="1"/>
    <x v="1"/>
    <x v="17"/>
    <n v="1"/>
    <n v="1800"/>
    <n v="1800"/>
    <x v="9"/>
    <x v="0"/>
  </r>
  <r>
    <s v="ORD0354"/>
    <d v="2025-04-29T00:00:00"/>
    <x v="79"/>
    <x v="4"/>
    <x v="0"/>
    <n v="36"/>
    <x v="0"/>
    <x v="0"/>
    <x v="3"/>
    <x v="7"/>
    <n v="5"/>
    <n v="500"/>
    <n v="2500"/>
    <x v="9"/>
    <x v="0"/>
  </r>
  <r>
    <s v="ORD0355"/>
    <d v="2025-12-07T00:00:00"/>
    <x v="31"/>
    <x v="1"/>
    <x v="1"/>
    <n v="52"/>
    <x v="9"/>
    <x v="5"/>
    <x v="3"/>
    <x v="7"/>
    <n v="4"/>
    <n v="500"/>
    <n v="2000"/>
    <x v="8"/>
    <x v="2"/>
  </r>
  <r>
    <s v="ORD0356"/>
    <d v="2025-12-13T00:00:00"/>
    <x v="76"/>
    <x v="3"/>
    <x v="1"/>
    <n v="55"/>
    <x v="5"/>
    <x v="3"/>
    <x v="1"/>
    <x v="8"/>
    <n v="3"/>
    <n v="900"/>
    <n v="2700"/>
    <x v="8"/>
    <x v="2"/>
  </r>
  <r>
    <s v="ORD0357"/>
    <d v="2025-09-21T00:00:00"/>
    <x v="87"/>
    <x v="19"/>
    <x v="0"/>
    <n v="23"/>
    <x v="4"/>
    <x v="2"/>
    <x v="1"/>
    <x v="1"/>
    <n v="3"/>
    <n v="1200"/>
    <n v="3600"/>
    <x v="11"/>
    <x v="3"/>
  </r>
  <r>
    <s v="ORD0358"/>
    <d v="2025-12-20T00:00:00"/>
    <x v="16"/>
    <x v="8"/>
    <x v="0"/>
    <n v="48"/>
    <x v="5"/>
    <x v="3"/>
    <x v="3"/>
    <x v="15"/>
    <n v="2"/>
    <n v="700"/>
    <n v="1400"/>
    <x v="8"/>
    <x v="2"/>
  </r>
  <r>
    <s v="ORD0359"/>
    <d v="2025-07-28T00:00:00"/>
    <x v="90"/>
    <x v="17"/>
    <x v="0"/>
    <n v="46"/>
    <x v="8"/>
    <x v="3"/>
    <x v="1"/>
    <x v="17"/>
    <n v="1"/>
    <n v="1800"/>
    <n v="1800"/>
    <x v="4"/>
    <x v="2"/>
  </r>
  <r>
    <s v="ORD0360"/>
    <d v="2025-07-15T00:00:00"/>
    <x v="33"/>
    <x v="12"/>
    <x v="1"/>
    <n v="39"/>
    <x v="2"/>
    <x v="0"/>
    <x v="3"/>
    <x v="15"/>
    <n v="4"/>
    <n v="700"/>
    <n v="2800"/>
    <x v="4"/>
    <x v="0"/>
  </r>
  <r>
    <s v="ORD0361"/>
    <d v="2025-07-10T00:00:00"/>
    <x v="21"/>
    <x v="19"/>
    <x v="0"/>
    <n v="20"/>
    <x v="9"/>
    <x v="5"/>
    <x v="4"/>
    <x v="10"/>
    <n v="3"/>
    <n v="600"/>
    <n v="1800"/>
    <x v="4"/>
    <x v="3"/>
  </r>
  <r>
    <s v="ORD0362"/>
    <d v="2025-09-03T00:00:00"/>
    <x v="55"/>
    <x v="6"/>
    <x v="0"/>
    <n v="39"/>
    <x v="7"/>
    <x v="0"/>
    <x v="3"/>
    <x v="16"/>
    <n v="5"/>
    <n v="300"/>
    <n v="1500"/>
    <x v="11"/>
    <x v="0"/>
  </r>
  <r>
    <s v="ORD0363"/>
    <d v="2025-09-06T00:00:00"/>
    <x v="7"/>
    <x v="5"/>
    <x v="1"/>
    <n v="18"/>
    <x v="8"/>
    <x v="3"/>
    <x v="2"/>
    <x v="12"/>
    <n v="1"/>
    <n v="600"/>
    <n v="600"/>
    <x v="11"/>
    <x v="3"/>
  </r>
  <r>
    <s v="ORD0364"/>
    <d v="2025-08-25T00:00:00"/>
    <x v="95"/>
    <x v="4"/>
    <x v="0"/>
    <n v="34"/>
    <x v="0"/>
    <x v="0"/>
    <x v="0"/>
    <x v="0"/>
    <n v="5"/>
    <n v="5000"/>
    <n v="25000"/>
    <x v="2"/>
    <x v="1"/>
  </r>
  <r>
    <s v="ORD0365"/>
    <d v="2025-03-27T00:00:00"/>
    <x v="45"/>
    <x v="8"/>
    <x v="0"/>
    <n v="37"/>
    <x v="9"/>
    <x v="5"/>
    <x v="1"/>
    <x v="1"/>
    <n v="1"/>
    <n v="1200"/>
    <n v="1200"/>
    <x v="7"/>
    <x v="0"/>
  </r>
  <r>
    <s v="ORD0366"/>
    <d v="2025-02-23T00:00:00"/>
    <x v="57"/>
    <x v="10"/>
    <x v="0"/>
    <n v="25"/>
    <x v="0"/>
    <x v="0"/>
    <x v="4"/>
    <x v="13"/>
    <n v="3"/>
    <n v="2500"/>
    <n v="7500"/>
    <x v="6"/>
    <x v="1"/>
  </r>
  <r>
    <s v="ORD0367"/>
    <d v="2025-10-19T00:00:00"/>
    <x v="57"/>
    <x v="19"/>
    <x v="0"/>
    <n v="44"/>
    <x v="1"/>
    <x v="1"/>
    <x v="0"/>
    <x v="4"/>
    <n v="2"/>
    <n v="1500"/>
    <n v="3000"/>
    <x v="1"/>
    <x v="0"/>
  </r>
  <r>
    <s v="ORD0368"/>
    <d v="2025-06-22T00:00:00"/>
    <x v="66"/>
    <x v="7"/>
    <x v="1"/>
    <n v="44"/>
    <x v="2"/>
    <x v="0"/>
    <x v="4"/>
    <x v="13"/>
    <n v="5"/>
    <n v="2500"/>
    <n v="12500"/>
    <x v="3"/>
    <x v="0"/>
  </r>
  <r>
    <s v="ORD0369"/>
    <d v="2025-09-16T00:00:00"/>
    <x v="23"/>
    <x v="16"/>
    <x v="0"/>
    <n v="34"/>
    <x v="4"/>
    <x v="2"/>
    <x v="4"/>
    <x v="18"/>
    <n v="2"/>
    <n v="1800"/>
    <n v="3600"/>
    <x v="11"/>
    <x v="1"/>
  </r>
  <r>
    <s v="ORD0370"/>
    <d v="2025-03-25T00:00:00"/>
    <x v="58"/>
    <x v="11"/>
    <x v="1"/>
    <n v="32"/>
    <x v="4"/>
    <x v="2"/>
    <x v="2"/>
    <x v="3"/>
    <n v="3"/>
    <n v="350"/>
    <n v="1050"/>
    <x v="7"/>
    <x v="1"/>
  </r>
  <r>
    <s v="ORD0371"/>
    <d v="2025-01-23T00:00:00"/>
    <x v="67"/>
    <x v="12"/>
    <x v="1"/>
    <n v="28"/>
    <x v="2"/>
    <x v="0"/>
    <x v="1"/>
    <x v="1"/>
    <n v="5"/>
    <n v="1200"/>
    <n v="6000"/>
    <x v="0"/>
    <x v="1"/>
  </r>
  <r>
    <s v="ORD0372"/>
    <d v="2025-06-26T00:00:00"/>
    <x v="40"/>
    <x v="4"/>
    <x v="0"/>
    <n v="32"/>
    <x v="8"/>
    <x v="3"/>
    <x v="2"/>
    <x v="5"/>
    <n v="4"/>
    <n v="800"/>
    <n v="3200"/>
    <x v="3"/>
    <x v="1"/>
  </r>
  <r>
    <s v="ORD0373"/>
    <d v="2025-03-15T00:00:00"/>
    <x v="73"/>
    <x v="4"/>
    <x v="0"/>
    <n v="37"/>
    <x v="0"/>
    <x v="0"/>
    <x v="0"/>
    <x v="4"/>
    <n v="4"/>
    <n v="1500"/>
    <n v="6000"/>
    <x v="7"/>
    <x v="0"/>
  </r>
  <r>
    <s v="ORD0374"/>
    <d v="2025-12-18T00:00:00"/>
    <x v="96"/>
    <x v="8"/>
    <x v="0"/>
    <n v="45"/>
    <x v="5"/>
    <x v="3"/>
    <x v="1"/>
    <x v="8"/>
    <n v="1"/>
    <n v="900"/>
    <n v="900"/>
    <x v="8"/>
    <x v="2"/>
  </r>
  <r>
    <s v="ORD0375"/>
    <d v="2025-10-30T00:00:00"/>
    <x v="5"/>
    <x v="16"/>
    <x v="0"/>
    <n v="47"/>
    <x v="7"/>
    <x v="0"/>
    <x v="3"/>
    <x v="15"/>
    <n v="5"/>
    <n v="700"/>
    <n v="3500"/>
    <x v="1"/>
    <x v="2"/>
  </r>
  <r>
    <s v="ORD0376"/>
    <d v="2025-10-28T00:00:00"/>
    <x v="54"/>
    <x v="5"/>
    <x v="1"/>
    <n v="48"/>
    <x v="8"/>
    <x v="3"/>
    <x v="2"/>
    <x v="3"/>
    <n v="3"/>
    <n v="350"/>
    <n v="1050"/>
    <x v="1"/>
    <x v="2"/>
  </r>
  <r>
    <s v="ORD0377"/>
    <d v="2025-06-02T00:00:00"/>
    <x v="0"/>
    <x v="19"/>
    <x v="0"/>
    <n v="32"/>
    <x v="5"/>
    <x v="3"/>
    <x v="1"/>
    <x v="2"/>
    <n v="1"/>
    <n v="700"/>
    <n v="700"/>
    <x v="3"/>
    <x v="1"/>
  </r>
  <r>
    <s v="ORD0378"/>
    <d v="2025-11-19T00:00:00"/>
    <x v="75"/>
    <x v="17"/>
    <x v="0"/>
    <n v="39"/>
    <x v="8"/>
    <x v="3"/>
    <x v="2"/>
    <x v="6"/>
    <n v="5"/>
    <n v="1500"/>
    <n v="7500"/>
    <x v="5"/>
    <x v="0"/>
  </r>
  <r>
    <s v="ORD0379"/>
    <d v="2025-03-28T00:00:00"/>
    <x v="3"/>
    <x v="3"/>
    <x v="1"/>
    <n v="39"/>
    <x v="5"/>
    <x v="3"/>
    <x v="1"/>
    <x v="1"/>
    <n v="3"/>
    <n v="1200"/>
    <n v="3600"/>
    <x v="7"/>
    <x v="0"/>
  </r>
  <r>
    <s v="ORD0380"/>
    <d v="2025-10-31T00:00:00"/>
    <x v="74"/>
    <x v="15"/>
    <x v="1"/>
    <n v="32"/>
    <x v="0"/>
    <x v="0"/>
    <x v="2"/>
    <x v="5"/>
    <n v="4"/>
    <n v="800"/>
    <n v="3200"/>
    <x v="1"/>
    <x v="1"/>
  </r>
  <r>
    <s v="ORD0381"/>
    <d v="2025-11-19T00:00:00"/>
    <x v="45"/>
    <x v="7"/>
    <x v="1"/>
    <n v="39"/>
    <x v="9"/>
    <x v="5"/>
    <x v="3"/>
    <x v="7"/>
    <n v="3"/>
    <n v="500"/>
    <n v="1500"/>
    <x v="5"/>
    <x v="0"/>
  </r>
  <r>
    <s v="ORD0382"/>
    <d v="2025-11-20T00:00:00"/>
    <x v="63"/>
    <x v="4"/>
    <x v="0"/>
    <n v="32"/>
    <x v="2"/>
    <x v="0"/>
    <x v="3"/>
    <x v="15"/>
    <n v="5"/>
    <n v="700"/>
    <n v="3500"/>
    <x v="5"/>
    <x v="1"/>
  </r>
  <r>
    <s v="ORD0383"/>
    <d v="2025-11-30T00:00:00"/>
    <x v="60"/>
    <x v="13"/>
    <x v="1"/>
    <n v="31"/>
    <x v="0"/>
    <x v="0"/>
    <x v="1"/>
    <x v="1"/>
    <n v="3"/>
    <n v="1200"/>
    <n v="3600"/>
    <x v="5"/>
    <x v="1"/>
  </r>
  <r>
    <s v="ORD0384"/>
    <d v="2025-05-17T00:00:00"/>
    <x v="2"/>
    <x v="10"/>
    <x v="0"/>
    <n v="39"/>
    <x v="7"/>
    <x v="0"/>
    <x v="1"/>
    <x v="8"/>
    <n v="5"/>
    <n v="900"/>
    <n v="4500"/>
    <x v="10"/>
    <x v="0"/>
  </r>
  <r>
    <s v="ORD0385"/>
    <d v="2025-11-21T00:00:00"/>
    <x v="77"/>
    <x v="19"/>
    <x v="0"/>
    <n v="51"/>
    <x v="2"/>
    <x v="0"/>
    <x v="1"/>
    <x v="1"/>
    <n v="5"/>
    <n v="1200"/>
    <n v="6000"/>
    <x v="5"/>
    <x v="2"/>
  </r>
  <r>
    <s v="ORD0386"/>
    <d v="2025-03-07T00:00:00"/>
    <x v="50"/>
    <x v="7"/>
    <x v="1"/>
    <n v="29"/>
    <x v="9"/>
    <x v="5"/>
    <x v="4"/>
    <x v="13"/>
    <n v="2"/>
    <n v="2500"/>
    <n v="5000"/>
    <x v="7"/>
    <x v="1"/>
  </r>
  <r>
    <s v="ORD0387"/>
    <d v="2025-04-15T00:00:00"/>
    <x v="16"/>
    <x v="9"/>
    <x v="0"/>
    <n v="20"/>
    <x v="6"/>
    <x v="4"/>
    <x v="4"/>
    <x v="19"/>
    <n v="1"/>
    <n v="3000"/>
    <n v="3000"/>
    <x v="9"/>
    <x v="3"/>
  </r>
  <r>
    <s v="ORD0388"/>
    <d v="2025-04-25T00:00:00"/>
    <x v="5"/>
    <x v="19"/>
    <x v="0"/>
    <n v="38"/>
    <x v="5"/>
    <x v="3"/>
    <x v="0"/>
    <x v="0"/>
    <n v="4"/>
    <n v="5000"/>
    <n v="20000"/>
    <x v="9"/>
    <x v="0"/>
  </r>
  <r>
    <s v="ORD0389"/>
    <d v="2025-05-03T00:00:00"/>
    <x v="15"/>
    <x v="2"/>
    <x v="1"/>
    <n v="32"/>
    <x v="3"/>
    <x v="1"/>
    <x v="2"/>
    <x v="12"/>
    <n v="4"/>
    <n v="600"/>
    <n v="2400"/>
    <x v="10"/>
    <x v="1"/>
  </r>
  <r>
    <s v="ORD0390"/>
    <d v="2025-07-20T00:00:00"/>
    <x v="68"/>
    <x v="17"/>
    <x v="0"/>
    <n v="36"/>
    <x v="0"/>
    <x v="0"/>
    <x v="2"/>
    <x v="3"/>
    <n v="3"/>
    <n v="350"/>
    <n v="1050"/>
    <x v="4"/>
    <x v="0"/>
  </r>
  <r>
    <s v="ORD0391"/>
    <d v="2025-05-28T00:00:00"/>
    <x v="12"/>
    <x v="5"/>
    <x v="1"/>
    <n v="31"/>
    <x v="6"/>
    <x v="4"/>
    <x v="1"/>
    <x v="2"/>
    <n v="3"/>
    <n v="700"/>
    <n v="2100"/>
    <x v="10"/>
    <x v="1"/>
  </r>
  <r>
    <s v="ORD0392"/>
    <d v="2025-05-02T00:00:00"/>
    <x v="87"/>
    <x v="5"/>
    <x v="1"/>
    <n v="45"/>
    <x v="3"/>
    <x v="1"/>
    <x v="4"/>
    <x v="18"/>
    <n v="5"/>
    <n v="1800"/>
    <n v="9000"/>
    <x v="10"/>
    <x v="2"/>
  </r>
  <r>
    <s v="ORD0393"/>
    <d v="2025-06-28T00:00:00"/>
    <x v="32"/>
    <x v="15"/>
    <x v="1"/>
    <n v="49"/>
    <x v="1"/>
    <x v="1"/>
    <x v="4"/>
    <x v="10"/>
    <n v="4"/>
    <n v="600"/>
    <n v="2400"/>
    <x v="3"/>
    <x v="2"/>
  </r>
  <r>
    <s v="ORD0394"/>
    <d v="2025-09-28T00:00:00"/>
    <x v="11"/>
    <x v="4"/>
    <x v="0"/>
    <n v="43"/>
    <x v="2"/>
    <x v="0"/>
    <x v="2"/>
    <x v="3"/>
    <n v="4"/>
    <n v="350"/>
    <n v="1400"/>
    <x v="11"/>
    <x v="0"/>
  </r>
  <r>
    <s v="ORD0395"/>
    <d v="2025-10-27T00:00:00"/>
    <x v="65"/>
    <x v="17"/>
    <x v="0"/>
    <n v="26"/>
    <x v="7"/>
    <x v="0"/>
    <x v="1"/>
    <x v="2"/>
    <n v="4"/>
    <n v="700"/>
    <n v="2800"/>
    <x v="1"/>
    <x v="1"/>
  </r>
  <r>
    <s v="ORD0396"/>
    <d v="2025-03-04T00:00:00"/>
    <x v="58"/>
    <x v="12"/>
    <x v="1"/>
    <n v="41"/>
    <x v="9"/>
    <x v="5"/>
    <x v="0"/>
    <x v="11"/>
    <n v="3"/>
    <n v="800"/>
    <n v="2400"/>
    <x v="7"/>
    <x v="0"/>
  </r>
  <r>
    <s v="ORD0397"/>
    <d v="2025-10-16T00:00:00"/>
    <x v="86"/>
    <x v="9"/>
    <x v="0"/>
    <n v="54"/>
    <x v="4"/>
    <x v="2"/>
    <x v="4"/>
    <x v="19"/>
    <n v="4"/>
    <n v="3000"/>
    <n v="12000"/>
    <x v="1"/>
    <x v="2"/>
  </r>
  <r>
    <s v="ORD0398"/>
    <d v="2025-05-09T00:00:00"/>
    <x v="3"/>
    <x v="12"/>
    <x v="1"/>
    <n v="37"/>
    <x v="3"/>
    <x v="1"/>
    <x v="4"/>
    <x v="19"/>
    <n v="3"/>
    <n v="3000"/>
    <n v="9000"/>
    <x v="10"/>
    <x v="0"/>
  </r>
  <r>
    <s v="ORD0399"/>
    <d v="2025-10-19T00:00:00"/>
    <x v="66"/>
    <x v="4"/>
    <x v="0"/>
    <n v="48"/>
    <x v="5"/>
    <x v="3"/>
    <x v="0"/>
    <x v="0"/>
    <n v="1"/>
    <n v="5000"/>
    <n v="5000"/>
    <x v="1"/>
    <x v="2"/>
  </r>
  <r>
    <s v="ORD0400"/>
    <d v="2025-10-27T00:00:00"/>
    <x v="21"/>
    <x v="7"/>
    <x v="1"/>
    <n v="22"/>
    <x v="0"/>
    <x v="0"/>
    <x v="4"/>
    <x v="10"/>
    <n v="2"/>
    <n v="600"/>
    <n v="1200"/>
    <x v="1"/>
    <x v="3"/>
  </r>
  <r>
    <s v="ORD0401"/>
    <d v="2025-09-13T00:00:00"/>
    <x v="69"/>
    <x v="11"/>
    <x v="1"/>
    <n v="38"/>
    <x v="7"/>
    <x v="0"/>
    <x v="2"/>
    <x v="3"/>
    <n v="1"/>
    <n v="350"/>
    <n v="350"/>
    <x v="11"/>
    <x v="0"/>
  </r>
  <r>
    <s v="ORD0402"/>
    <d v="2025-02-25T00:00:00"/>
    <x v="90"/>
    <x v="8"/>
    <x v="0"/>
    <n v="24"/>
    <x v="4"/>
    <x v="2"/>
    <x v="3"/>
    <x v="7"/>
    <n v="3"/>
    <n v="500"/>
    <n v="1500"/>
    <x v="6"/>
    <x v="3"/>
  </r>
  <r>
    <s v="ORD0403"/>
    <d v="2025-03-12T00:00:00"/>
    <x v="89"/>
    <x v="5"/>
    <x v="1"/>
    <n v="31"/>
    <x v="2"/>
    <x v="0"/>
    <x v="0"/>
    <x v="11"/>
    <n v="3"/>
    <n v="800"/>
    <n v="2400"/>
    <x v="7"/>
    <x v="1"/>
  </r>
  <r>
    <s v="ORD0404"/>
    <d v="2025-06-02T00:00:00"/>
    <x v="14"/>
    <x v="1"/>
    <x v="1"/>
    <n v="24"/>
    <x v="7"/>
    <x v="0"/>
    <x v="1"/>
    <x v="17"/>
    <n v="4"/>
    <n v="1800"/>
    <n v="7200"/>
    <x v="3"/>
    <x v="3"/>
  </r>
  <r>
    <s v="ORD0405"/>
    <d v="2025-04-07T00:00:00"/>
    <x v="95"/>
    <x v="17"/>
    <x v="0"/>
    <n v="55"/>
    <x v="3"/>
    <x v="1"/>
    <x v="2"/>
    <x v="3"/>
    <n v="5"/>
    <n v="350"/>
    <n v="1750"/>
    <x v="9"/>
    <x v="2"/>
  </r>
  <r>
    <s v="ORD0406"/>
    <d v="2025-02-16T00:00:00"/>
    <x v="37"/>
    <x v="1"/>
    <x v="1"/>
    <n v="55"/>
    <x v="8"/>
    <x v="3"/>
    <x v="3"/>
    <x v="14"/>
    <n v="4"/>
    <n v="900"/>
    <n v="3600"/>
    <x v="6"/>
    <x v="2"/>
  </r>
  <r>
    <s v="ORD0407"/>
    <d v="2025-09-30T00:00:00"/>
    <x v="84"/>
    <x v="16"/>
    <x v="0"/>
    <n v="28"/>
    <x v="0"/>
    <x v="0"/>
    <x v="0"/>
    <x v="11"/>
    <n v="2"/>
    <n v="800"/>
    <n v="1600"/>
    <x v="11"/>
    <x v="1"/>
  </r>
  <r>
    <s v="ORD0408"/>
    <d v="2025-02-21T00:00:00"/>
    <x v="65"/>
    <x v="7"/>
    <x v="1"/>
    <n v="35"/>
    <x v="9"/>
    <x v="5"/>
    <x v="4"/>
    <x v="13"/>
    <n v="3"/>
    <n v="2500"/>
    <n v="7500"/>
    <x v="6"/>
    <x v="0"/>
  </r>
  <r>
    <s v="ORD0409"/>
    <d v="2025-03-29T00:00:00"/>
    <x v="56"/>
    <x v="10"/>
    <x v="0"/>
    <n v="22"/>
    <x v="0"/>
    <x v="0"/>
    <x v="3"/>
    <x v="14"/>
    <n v="2"/>
    <n v="900"/>
    <n v="1800"/>
    <x v="7"/>
    <x v="3"/>
  </r>
  <r>
    <s v="ORD0410"/>
    <d v="2025-05-19T00:00:00"/>
    <x v="22"/>
    <x v="9"/>
    <x v="0"/>
    <n v="22"/>
    <x v="8"/>
    <x v="3"/>
    <x v="3"/>
    <x v="16"/>
    <n v="1"/>
    <n v="300"/>
    <n v="300"/>
    <x v="10"/>
    <x v="3"/>
  </r>
  <r>
    <s v="ORD0411"/>
    <d v="2025-05-23T00:00:00"/>
    <x v="87"/>
    <x v="5"/>
    <x v="1"/>
    <n v="31"/>
    <x v="5"/>
    <x v="3"/>
    <x v="1"/>
    <x v="8"/>
    <n v="5"/>
    <n v="900"/>
    <n v="4500"/>
    <x v="10"/>
    <x v="1"/>
  </r>
  <r>
    <s v="ORD0412"/>
    <d v="2025-05-13T00:00:00"/>
    <x v="76"/>
    <x v="17"/>
    <x v="0"/>
    <n v="22"/>
    <x v="3"/>
    <x v="1"/>
    <x v="0"/>
    <x v="9"/>
    <n v="4"/>
    <n v="2500"/>
    <n v="10000"/>
    <x v="10"/>
    <x v="3"/>
  </r>
  <r>
    <s v="ORD0413"/>
    <d v="2025-03-24T00:00:00"/>
    <x v="65"/>
    <x v="19"/>
    <x v="0"/>
    <n v="19"/>
    <x v="1"/>
    <x v="1"/>
    <x v="2"/>
    <x v="5"/>
    <n v="4"/>
    <n v="800"/>
    <n v="3200"/>
    <x v="7"/>
    <x v="3"/>
  </r>
  <r>
    <s v="ORD0414"/>
    <d v="2025-11-10T00:00:00"/>
    <x v="48"/>
    <x v="16"/>
    <x v="0"/>
    <n v="54"/>
    <x v="8"/>
    <x v="3"/>
    <x v="3"/>
    <x v="15"/>
    <n v="4"/>
    <n v="700"/>
    <n v="2800"/>
    <x v="5"/>
    <x v="2"/>
  </r>
  <r>
    <s v="ORD0415"/>
    <d v="2025-05-20T00:00:00"/>
    <x v="77"/>
    <x v="17"/>
    <x v="0"/>
    <n v="28"/>
    <x v="0"/>
    <x v="0"/>
    <x v="4"/>
    <x v="19"/>
    <n v="3"/>
    <n v="3000"/>
    <n v="9000"/>
    <x v="10"/>
    <x v="1"/>
  </r>
  <r>
    <s v="ORD0416"/>
    <d v="2025-11-23T00:00:00"/>
    <x v="24"/>
    <x v="16"/>
    <x v="0"/>
    <n v="25"/>
    <x v="8"/>
    <x v="3"/>
    <x v="2"/>
    <x v="5"/>
    <n v="2"/>
    <n v="800"/>
    <n v="1600"/>
    <x v="5"/>
    <x v="1"/>
  </r>
  <r>
    <s v="ORD0417"/>
    <d v="2025-04-26T00:00:00"/>
    <x v="66"/>
    <x v="9"/>
    <x v="0"/>
    <n v="33"/>
    <x v="1"/>
    <x v="1"/>
    <x v="1"/>
    <x v="2"/>
    <n v="3"/>
    <n v="700"/>
    <n v="2100"/>
    <x v="9"/>
    <x v="1"/>
  </r>
  <r>
    <s v="ORD0418"/>
    <d v="2025-06-24T00:00:00"/>
    <x v="81"/>
    <x v="1"/>
    <x v="1"/>
    <n v="52"/>
    <x v="0"/>
    <x v="0"/>
    <x v="3"/>
    <x v="15"/>
    <n v="3"/>
    <n v="700"/>
    <n v="2100"/>
    <x v="3"/>
    <x v="2"/>
  </r>
  <r>
    <s v="ORD0419"/>
    <d v="2025-10-11T00:00:00"/>
    <x v="53"/>
    <x v="13"/>
    <x v="1"/>
    <n v="54"/>
    <x v="5"/>
    <x v="3"/>
    <x v="4"/>
    <x v="13"/>
    <n v="1"/>
    <n v="2500"/>
    <n v="2500"/>
    <x v="1"/>
    <x v="2"/>
  </r>
  <r>
    <s v="ORD0420"/>
    <d v="2025-04-11T00:00:00"/>
    <x v="41"/>
    <x v="3"/>
    <x v="1"/>
    <n v="24"/>
    <x v="2"/>
    <x v="0"/>
    <x v="2"/>
    <x v="12"/>
    <n v="3"/>
    <n v="600"/>
    <n v="1800"/>
    <x v="9"/>
    <x v="3"/>
  </r>
  <r>
    <s v="ORD0421"/>
    <d v="2025-07-17T00:00:00"/>
    <x v="65"/>
    <x v="4"/>
    <x v="0"/>
    <n v="38"/>
    <x v="7"/>
    <x v="0"/>
    <x v="2"/>
    <x v="6"/>
    <n v="4"/>
    <n v="1500"/>
    <n v="6000"/>
    <x v="4"/>
    <x v="0"/>
  </r>
  <r>
    <s v="ORD0422"/>
    <d v="2025-12-17T00:00:00"/>
    <x v="37"/>
    <x v="5"/>
    <x v="1"/>
    <n v="19"/>
    <x v="6"/>
    <x v="4"/>
    <x v="2"/>
    <x v="5"/>
    <n v="4"/>
    <n v="800"/>
    <n v="3200"/>
    <x v="8"/>
    <x v="3"/>
  </r>
  <r>
    <s v="ORD0423"/>
    <d v="2025-02-01T00:00:00"/>
    <x v="11"/>
    <x v="8"/>
    <x v="0"/>
    <n v="31"/>
    <x v="0"/>
    <x v="0"/>
    <x v="3"/>
    <x v="15"/>
    <n v="5"/>
    <n v="700"/>
    <n v="3500"/>
    <x v="6"/>
    <x v="1"/>
  </r>
  <r>
    <s v="ORD0424"/>
    <d v="2025-01-26T00:00:00"/>
    <x v="95"/>
    <x v="16"/>
    <x v="0"/>
    <n v="29"/>
    <x v="0"/>
    <x v="0"/>
    <x v="2"/>
    <x v="12"/>
    <n v="1"/>
    <n v="600"/>
    <n v="600"/>
    <x v="0"/>
    <x v="1"/>
  </r>
  <r>
    <s v="ORD0425"/>
    <d v="2025-09-27T00:00:00"/>
    <x v="15"/>
    <x v="12"/>
    <x v="1"/>
    <n v="55"/>
    <x v="3"/>
    <x v="1"/>
    <x v="4"/>
    <x v="13"/>
    <n v="4"/>
    <n v="2500"/>
    <n v="10000"/>
    <x v="11"/>
    <x v="2"/>
  </r>
  <r>
    <s v="ORD0426"/>
    <d v="2025-09-21T00:00:00"/>
    <x v="15"/>
    <x v="4"/>
    <x v="0"/>
    <n v="30"/>
    <x v="9"/>
    <x v="5"/>
    <x v="3"/>
    <x v="16"/>
    <n v="3"/>
    <n v="300"/>
    <n v="900"/>
    <x v="11"/>
    <x v="1"/>
  </r>
  <r>
    <s v="ORD0427"/>
    <d v="2025-09-10T00:00:00"/>
    <x v="1"/>
    <x v="5"/>
    <x v="1"/>
    <n v="41"/>
    <x v="1"/>
    <x v="1"/>
    <x v="2"/>
    <x v="12"/>
    <n v="3"/>
    <n v="600"/>
    <n v="1800"/>
    <x v="11"/>
    <x v="0"/>
  </r>
  <r>
    <s v="ORD0428"/>
    <d v="2025-12-07T00:00:00"/>
    <x v="59"/>
    <x v="19"/>
    <x v="0"/>
    <n v="34"/>
    <x v="6"/>
    <x v="4"/>
    <x v="1"/>
    <x v="17"/>
    <n v="5"/>
    <n v="1800"/>
    <n v="9000"/>
    <x v="8"/>
    <x v="1"/>
  </r>
  <r>
    <s v="ORD0429"/>
    <d v="2025-05-13T00:00:00"/>
    <x v="72"/>
    <x v="7"/>
    <x v="1"/>
    <n v="18"/>
    <x v="8"/>
    <x v="3"/>
    <x v="2"/>
    <x v="5"/>
    <n v="2"/>
    <n v="800"/>
    <n v="1600"/>
    <x v="10"/>
    <x v="3"/>
  </r>
  <r>
    <s v="ORD0430"/>
    <d v="2025-11-07T00:00:00"/>
    <x v="75"/>
    <x v="1"/>
    <x v="1"/>
    <n v="52"/>
    <x v="0"/>
    <x v="0"/>
    <x v="3"/>
    <x v="15"/>
    <n v="1"/>
    <n v="700"/>
    <n v="700"/>
    <x v="5"/>
    <x v="2"/>
  </r>
  <r>
    <s v="ORD0431"/>
    <d v="2025-03-02T00:00:00"/>
    <x v="94"/>
    <x v="16"/>
    <x v="0"/>
    <n v="53"/>
    <x v="7"/>
    <x v="0"/>
    <x v="0"/>
    <x v="4"/>
    <n v="5"/>
    <n v="1500"/>
    <n v="7500"/>
    <x v="7"/>
    <x v="2"/>
  </r>
  <r>
    <s v="ORD0432"/>
    <d v="2025-02-07T00:00:00"/>
    <x v="64"/>
    <x v="12"/>
    <x v="1"/>
    <n v="36"/>
    <x v="9"/>
    <x v="5"/>
    <x v="0"/>
    <x v="9"/>
    <n v="2"/>
    <n v="2500"/>
    <n v="5000"/>
    <x v="6"/>
    <x v="0"/>
  </r>
  <r>
    <s v="ORD0433"/>
    <d v="2025-11-18T00:00:00"/>
    <x v="30"/>
    <x v="1"/>
    <x v="1"/>
    <n v="41"/>
    <x v="6"/>
    <x v="4"/>
    <x v="0"/>
    <x v="0"/>
    <n v="5"/>
    <n v="5000"/>
    <n v="25000"/>
    <x v="5"/>
    <x v="0"/>
  </r>
  <r>
    <s v="ORD0434"/>
    <d v="2025-06-10T00:00:00"/>
    <x v="49"/>
    <x v="5"/>
    <x v="1"/>
    <n v="50"/>
    <x v="3"/>
    <x v="1"/>
    <x v="4"/>
    <x v="10"/>
    <n v="5"/>
    <n v="600"/>
    <n v="3000"/>
    <x v="3"/>
    <x v="2"/>
  </r>
  <r>
    <s v="ORD0435"/>
    <d v="2025-11-15T00:00:00"/>
    <x v="18"/>
    <x v="10"/>
    <x v="0"/>
    <n v="55"/>
    <x v="6"/>
    <x v="4"/>
    <x v="1"/>
    <x v="1"/>
    <n v="2"/>
    <n v="1200"/>
    <n v="2400"/>
    <x v="5"/>
    <x v="2"/>
  </r>
  <r>
    <s v="ORD0436"/>
    <d v="2025-11-15T00:00:00"/>
    <x v="35"/>
    <x v="16"/>
    <x v="0"/>
    <n v="46"/>
    <x v="5"/>
    <x v="3"/>
    <x v="1"/>
    <x v="2"/>
    <n v="2"/>
    <n v="700"/>
    <n v="1400"/>
    <x v="5"/>
    <x v="2"/>
  </r>
  <r>
    <s v="ORD0437"/>
    <d v="2025-10-26T00:00:00"/>
    <x v="52"/>
    <x v="8"/>
    <x v="0"/>
    <n v="49"/>
    <x v="4"/>
    <x v="2"/>
    <x v="1"/>
    <x v="8"/>
    <n v="3"/>
    <n v="900"/>
    <n v="2700"/>
    <x v="1"/>
    <x v="2"/>
  </r>
  <r>
    <s v="ORD0438"/>
    <d v="2025-03-18T00:00:00"/>
    <x v="21"/>
    <x v="17"/>
    <x v="0"/>
    <n v="41"/>
    <x v="5"/>
    <x v="3"/>
    <x v="4"/>
    <x v="18"/>
    <n v="4"/>
    <n v="1800"/>
    <n v="7200"/>
    <x v="7"/>
    <x v="0"/>
  </r>
  <r>
    <s v="ORD0439"/>
    <d v="2025-07-27T00:00:00"/>
    <x v="17"/>
    <x v="14"/>
    <x v="0"/>
    <n v="22"/>
    <x v="7"/>
    <x v="0"/>
    <x v="2"/>
    <x v="6"/>
    <n v="2"/>
    <n v="1500"/>
    <n v="3000"/>
    <x v="4"/>
    <x v="3"/>
  </r>
  <r>
    <s v="ORD0440"/>
    <d v="2025-06-27T00:00:00"/>
    <x v="72"/>
    <x v="18"/>
    <x v="1"/>
    <n v="25"/>
    <x v="0"/>
    <x v="0"/>
    <x v="2"/>
    <x v="5"/>
    <n v="1"/>
    <n v="800"/>
    <n v="800"/>
    <x v="3"/>
    <x v="1"/>
  </r>
  <r>
    <s v="ORD0441"/>
    <d v="2025-11-09T00:00:00"/>
    <x v="23"/>
    <x v="5"/>
    <x v="1"/>
    <n v="55"/>
    <x v="5"/>
    <x v="3"/>
    <x v="1"/>
    <x v="8"/>
    <n v="4"/>
    <n v="900"/>
    <n v="3600"/>
    <x v="5"/>
    <x v="2"/>
  </r>
  <r>
    <s v="ORD0442"/>
    <d v="2025-08-07T00:00:00"/>
    <x v="94"/>
    <x v="15"/>
    <x v="1"/>
    <n v="45"/>
    <x v="6"/>
    <x v="4"/>
    <x v="3"/>
    <x v="7"/>
    <n v="5"/>
    <n v="500"/>
    <n v="2500"/>
    <x v="2"/>
    <x v="2"/>
  </r>
  <r>
    <s v="ORD0443"/>
    <d v="2025-11-17T00:00:00"/>
    <x v="20"/>
    <x v="18"/>
    <x v="1"/>
    <n v="21"/>
    <x v="3"/>
    <x v="1"/>
    <x v="1"/>
    <x v="8"/>
    <n v="5"/>
    <n v="900"/>
    <n v="4500"/>
    <x v="5"/>
    <x v="3"/>
  </r>
  <r>
    <s v="ORD0444"/>
    <d v="2025-06-22T00:00:00"/>
    <x v="50"/>
    <x v="5"/>
    <x v="1"/>
    <n v="27"/>
    <x v="7"/>
    <x v="0"/>
    <x v="4"/>
    <x v="19"/>
    <n v="3"/>
    <n v="3000"/>
    <n v="9000"/>
    <x v="3"/>
    <x v="1"/>
  </r>
  <r>
    <s v="ORD0445"/>
    <d v="2025-05-24T00:00:00"/>
    <x v="79"/>
    <x v="10"/>
    <x v="0"/>
    <n v="52"/>
    <x v="6"/>
    <x v="4"/>
    <x v="2"/>
    <x v="5"/>
    <n v="3"/>
    <n v="800"/>
    <n v="2400"/>
    <x v="10"/>
    <x v="2"/>
  </r>
  <r>
    <s v="ORD0446"/>
    <d v="2025-04-07T00:00:00"/>
    <x v="85"/>
    <x v="12"/>
    <x v="1"/>
    <n v="45"/>
    <x v="4"/>
    <x v="2"/>
    <x v="4"/>
    <x v="19"/>
    <n v="2"/>
    <n v="3000"/>
    <n v="6000"/>
    <x v="9"/>
    <x v="2"/>
  </r>
  <r>
    <s v="ORD0447"/>
    <d v="2025-05-14T00:00:00"/>
    <x v="13"/>
    <x v="13"/>
    <x v="1"/>
    <n v="32"/>
    <x v="2"/>
    <x v="0"/>
    <x v="2"/>
    <x v="5"/>
    <n v="4"/>
    <n v="800"/>
    <n v="3200"/>
    <x v="10"/>
    <x v="1"/>
  </r>
  <r>
    <s v="ORD0448"/>
    <d v="2025-07-13T00:00:00"/>
    <x v="72"/>
    <x v="19"/>
    <x v="0"/>
    <n v="41"/>
    <x v="2"/>
    <x v="0"/>
    <x v="0"/>
    <x v="0"/>
    <n v="1"/>
    <n v="5000"/>
    <n v="5000"/>
    <x v="4"/>
    <x v="0"/>
  </r>
  <r>
    <s v="ORD0449"/>
    <d v="2025-06-25T00:00:00"/>
    <x v="14"/>
    <x v="7"/>
    <x v="1"/>
    <n v="45"/>
    <x v="1"/>
    <x v="1"/>
    <x v="3"/>
    <x v="16"/>
    <n v="5"/>
    <n v="300"/>
    <n v="1500"/>
    <x v="3"/>
    <x v="2"/>
  </r>
  <r>
    <s v="ORD0450"/>
    <d v="2025-08-26T00:00:00"/>
    <x v="27"/>
    <x v="11"/>
    <x v="1"/>
    <n v="22"/>
    <x v="8"/>
    <x v="3"/>
    <x v="1"/>
    <x v="1"/>
    <n v="4"/>
    <n v="1200"/>
    <n v="4800"/>
    <x v="2"/>
    <x v="3"/>
  </r>
  <r>
    <s v="ORD0451"/>
    <d v="2025-05-25T00:00:00"/>
    <x v="84"/>
    <x v="0"/>
    <x v="0"/>
    <n v="52"/>
    <x v="8"/>
    <x v="3"/>
    <x v="3"/>
    <x v="14"/>
    <n v="2"/>
    <n v="900"/>
    <n v="1800"/>
    <x v="10"/>
    <x v="2"/>
  </r>
  <r>
    <s v="ORD0452"/>
    <d v="2025-11-15T00:00:00"/>
    <x v="27"/>
    <x v="16"/>
    <x v="0"/>
    <n v="23"/>
    <x v="8"/>
    <x v="3"/>
    <x v="0"/>
    <x v="0"/>
    <n v="4"/>
    <n v="5000"/>
    <n v="20000"/>
    <x v="5"/>
    <x v="3"/>
  </r>
  <r>
    <s v="ORD0453"/>
    <d v="2025-02-25T00:00:00"/>
    <x v="52"/>
    <x v="15"/>
    <x v="1"/>
    <n v="32"/>
    <x v="4"/>
    <x v="2"/>
    <x v="1"/>
    <x v="8"/>
    <n v="1"/>
    <n v="900"/>
    <n v="900"/>
    <x v="6"/>
    <x v="1"/>
  </r>
  <r>
    <s v="ORD0454"/>
    <d v="2025-06-23T00:00:00"/>
    <x v="19"/>
    <x v="17"/>
    <x v="0"/>
    <n v="47"/>
    <x v="4"/>
    <x v="2"/>
    <x v="0"/>
    <x v="11"/>
    <n v="2"/>
    <n v="800"/>
    <n v="1600"/>
    <x v="3"/>
    <x v="2"/>
  </r>
  <r>
    <s v="ORD0455"/>
    <d v="2025-08-22T00:00:00"/>
    <x v="76"/>
    <x v="14"/>
    <x v="0"/>
    <n v="37"/>
    <x v="6"/>
    <x v="4"/>
    <x v="2"/>
    <x v="12"/>
    <n v="2"/>
    <n v="600"/>
    <n v="1200"/>
    <x v="2"/>
    <x v="0"/>
  </r>
  <r>
    <s v="ORD0456"/>
    <d v="2025-04-20T00:00:00"/>
    <x v="81"/>
    <x v="0"/>
    <x v="0"/>
    <n v="46"/>
    <x v="9"/>
    <x v="5"/>
    <x v="2"/>
    <x v="3"/>
    <n v="2"/>
    <n v="350"/>
    <n v="700"/>
    <x v="9"/>
    <x v="2"/>
  </r>
  <r>
    <s v="ORD0457"/>
    <d v="2025-03-06T00:00:00"/>
    <x v="26"/>
    <x v="10"/>
    <x v="0"/>
    <n v="39"/>
    <x v="9"/>
    <x v="5"/>
    <x v="3"/>
    <x v="16"/>
    <n v="5"/>
    <n v="300"/>
    <n v="1500"/>
    <x v="7"/>
    <x v="0"/>
  </r>
  <r>
    <s v="ORD0458"/>
    <d v="2025-10-02T00:00:00"/>
    <x v="72"/>
    <x v="16"/>
    <x v="0"/>
    <n v="33"/>
    <x v="1"/>
    <x v="1"/>
    <x v="3"/>
    <x v="15"/>
    <n v="3"/>
    <n v="700"/>
    <n v="2100"/>
    <x v="1"/>
    <x v="1"/>
  </r>
  <r>
    <s v="ORD0459"/>
    <d v="2025-01-01T00:00:00"/>
    <x v="88"/>
    <x v="5"/>
    <x v="1"/>
    <n v="19"/>
    <x v="0"/>
    <x v="0"/>
    <x v="3"/>
    <x v="16"/>
    <n v="2"/>
    <n v="300"/>
    <n v="600"/>
    <x v="0"/>
    <x v="3"/>
  </r>
  <r>
    <s v="ORD0460"/>
    <d v="2025-10-24T00:00:00"/>
    <x v="24"/>
    <x v="7"/>
    <x v="1"/>
    <n v="52"/>
    <x v="8"/>
    <x v="3"/>
    <x v="3"/>
    <x v="15"/>
    <n v="2"/>
    <n v="700"/>
    <n v="1400"/>
    <x v="1"/>
    <x v="2"/>
  </r>
  <r>
    <s v="ORD0461"/>
    <d v="2025-02-21T00:00:00"/>
    <x v="39"/>
    <x v="5"/>
    <x v="1"/>
    <n v="28"/>
    <x v="4"/>
    <x v="2"/>
    <x v="2"/>
    <x v="12"/>
    <n v="1"/>
    <n v="600"/>
    <n v="600"/>
    <x v="6"/>
    <x v="1"/>
  </r>
  <r>
    <s v="ORD0462"/>
    <d v="2025-01-11T00:00:00"/>
    <x v="70"/>
    <x v="18"/>
    <x v="1"/>
    <n v="22"/>
    <x v="4"/>
    <x v="2"/>
    <x v="3"/>
    <x v="14"/>
    <n v="5"/>
    <n v="900"/>
    <n v="4500"/>
    <x v="0"/>
    <x v="3"/>
  </r>
  <r>
    <s v="ORD0463"/>
    <d v="2025-07-07T00:00:00"/>
    <x v="51"/>
    <x v="17"/>
    <x v="0"/>
    <n v="19"/>
    <x v="8"/>
    <x v="3"/>
    <x v="4"/>
    <x v="18"/>
    <n v="4"/>
    <n v="1800"/>
    <n v="7200"/>
    <x v="4"/>
    <x v="3"/>
  </r>
  <r>
    <s v="ORD0464"/>
    <d v="2025-07-03T00:00:00"/>
    <x v="30"/>
    <x v="2"/>
    <x v="1"/>
    <n v="19"/>
    <x v="0"/>
    <x v="0"/>
    <x v="1"/>
    <x v="8"/>
    <n v="1"/>
    <n v="900"/>
    <n v="900"/>
    <x v="4"/>
    <x v="3"/>
  </r>
  <r>
    <s v="ORD0465"/>
    <d v="2025-03-21T00:00:00"/>
    <x v="45"/>
    <x v="17"/>
    <x v="0"/>
    <n v="34"/>
    <x v="2"/>
    <x v="0"/>
    <x v="2"/>
    <x v="12"/>
    <n v="5"/>
    <n v="600"/>
    <n v="3000"/>
    <x v="7"/>
    <x v="1"/>
  </r>
  <r>
    <s v="ORD0466"/>
    <d v="2025-11-25T00:00:00"/>
    <x v="90"/>
    <x v="1"/>
    <x v="1"/>
    <n v="36"/>
    <x v="0"/>
    <x v="0"/>
    <x v="0"/>
    <x v="4"/>
    <n v="3"/>
    <n v="1500"/>
    <n v="4500"/>
    <x v="5"/>
    <x v="0"/>
  </r>
  <r>
    <s v="ORD0467"/>
    <d v="2025-05-16T00:00:00"/>
    <x v="72"/>
    <x v="0"/>
    <x v="0"/>
    <n v="39"/>
    <x v="0"/>
    <x v="0"/>
    <x v="4"/>
    <x v="18"/>
    <n v="3"/>
    <n v="1800"/>
    <n v="5400"/>
    <x v="10"/>
    <x v="0"/>
  </r>
  <r>
    <s v="ORD0468"/>
    <d v="2025-12-25T00:00:00"/>
    <x v="74"/>
    <x v="15"/>
    <x v="1"/>
    <n v="45"/>
    <x v="4"/>
    <x v="2"/>
    <x v="0"/>
    <x v="9"/>
    <n v="4"/>
    <n v="2500"/>
    <n v="10000"/>
    <x v="8"/>
    <x v="2"/>
  </r>
  <r>
    <s v="ORD0469"/>
    <d v="2025-11-25T00:00:00"/>
    <x v="31"/>
    <x v="5"/>
    <x v="1"/>
    <n v="55"/>
    <x v="6"/>
    <x v="4"/>
    <x v="0"/>
    <x v="9"/>
    <n v="4"/>
    <n v="2500"/>
    <n v="10000"/>
    <x v="5"/>
    <x v="2"/>
  </r>
  <r>
    <s v="ORD0470"/>
    <d v="2025-12-11T00:00:00"/>
    <x v="70"/>
    <x v="14"/>
    <x v="0"/>
    <n v="36"/>
    <x v="2"/>
    <x v="0"/>
    <x v="0"/>
    <x v="11"/>
    <n v="5"/>
    <n v="800"/>
    <n v="4000"/>
    <x v="8"/>
    <x v="0"/>
  </r>
  <r>
    <s v="ORD0471"/>
    <d v="2025-11-15T00:00:00"/>
    <x v="58"/>
    <x v="0"/>
    <x v="0"/>
    <n v="34"/>
    <x v="0"/>
    <x v="0"/>
    <x v="1"/>
    <x v="1"/>
    <n v="1"/>
    <n v="1200"/>
    <n v="1200"/>
    <x v="5"/>
    <x v="1"/>
  </r>
  <r>
    <s v="ORD0472"/>
    <d v="2025-11-17T00:00:00"/>
    <x v="81"/>
    <x v="10"/>
    <x v="0"/>
    <n v="33"/>
    <x v="1"/>
    <x v="1"/>
    <x v="2"/>
    <x v="5"/>
    <n v="1"/>
    <n v="800"/>
    <n v="800"/>
    <x v="5"/>
    <x v="1"/>
  </r>
  <r>
    <s v="ORD0473"/>
    <d v="2025-04-09T00:00:00"/>
    <x v="45"/>
    <x v="2"/>
    <x v="1"/>
    <n v="55"/>
    <x v="1"/>
    <x v="1"/>
    <x v="2"/>
    <x v="5"/>
    <n v="2"/>
    <n v="800"/>
    <n v="1600"/>
    <x v="9"/>
    <x v="2"/>
  </r>
  <r>
    <s v="ORD0474"/>
    <d v="2025-09-04T00:00:00"/>
    <x v="18"/>
    <x v="17"/>
    <x v="0"/>
    <n v="20"/>
    <x v="0"/>
    <x v="0"/>
    <x v="3"/>
    <x v="15"/>
    <n v="4"/>
    <n v="700"/>
    <n v="2800"/>
    <x v="11"/>
    <x v="3"/>
  </r>
  <r>
    <s v="ORD0475"/>
    <d v="2025-11-02T00:00:00"/>
    <x v="24"/>
    <x v="0"/>
    <x v="0"/>
    <n v="35"/>
    <x v="8"/>
    <x v="3"/>
    <x v="0"/>
    <x v="4"/>
    <n v="5"/>
    <n v="1500"/>
    <n v="7500"/>
    <x v="5"/>
    <x v="0"/>
  </r>
  <r>
    <s v="ORD0476"/>
    <d v="2025-10-06T00:00:00"/>
    <x v="93"/>
    <x v="9"/>
    <x v="0"/>
    <n v="44"/>
    <x v="1"/>
    <x v="1"/>
    <x v="3"/>
    <x v="14"/>
    <n v="3"/>
    <n v="900"/>
    <n v="2700"/>
    <x v="1"/>
    <x v="0"/>
  </r>
  <r>
    <s v="ORD0477"/>
    <d v="2025-03-31T00:00:00"/>
    <x v="9"/>
    <x v="4"/>
    <x v="0"/>
    <n v="23"/>
    <x v="0"/>
    <x v="0"/>
    <x v="1"/>
    <x v="2"/>
    <n v="2"/>
    <n v="700"/>
    <n v="1400"/>
    <x v="7"/>
    <x v="3"/>
  </r>
  <r>
    <s v="ORD0478"/>
    <d v="2025-08-31T00:00:00"/>
    <x v="19"/>
    <x v="0"/>
    <x v="0"/>
    <n v="24"/>
    <x v="7"/>
    <x v="0"/>
    <x v="2"/>
    <x v="12"/>
    <n v="1"/>
    <n v="600"/>
    <n v="600"/>
    <x v="2"/>
    <x v="3"/>
  </r>
  <r>
    <s v="ORD0479"/>
    <d v="2025-08-09T00:00:00"/>
    <x v="55"/>
    <x v="2"/>
    <x v="1"/>
    <n v="48"/>
    <x v="5"/>
    <x v="3"/>
    <x v="3"/>
    <x v="7"/>
    <n v="2"/>
    <n v="500"/>
    <n v="1000"/>
    <x v="2"/>
    <x v="2"/>
  </r>
  <r>
    <s v="ORD0480"/>
    <d v="2025-02-10T00:00:00"/>
    <x v="86"/>
    <x v="8"/>
    <x v="0"/>
    <n v="40"/>
    <x v="4"/>
    <x v="2"/>
    <x v="4"/>
    <x v="18"/>
    <n v="3"/>
    <n v="1800"/>
    <n v="5400"/>
    <x v="6"/>
    <x v="0"/>
  </r>
  <r>
    <s v="ORD0481"/>
    <d v="2025-07-08T00:00:00"/>
    <x v="94"/>
    <x v="3"/>
    <x v="1"/>
    <n v="39"/>
    <x v="8"/>
    <x v="3"/>
    <x v="2"/>
    <x v="12"/>
    <n v="5"/>
    <n v="600"/>
    <n v="3000"/>
    <x v="4"/>
    <x v="0"/>
  </r>
  <r>
    <s v="ORD0482"/>
    <d v="2025-02-08T00:00:00"/>
    <x v="8"/>
    <x v="5"/>
    <x v="1"/>
    <n v="25"/>
    <x v="7"/>
    <x v="0"/>
    <x v="1"/>
    <x v="17"/>
    <n v="4"/>
    <n v="1800"/>
    <n v="7200"/>
    <x v="6"/>
    <x v="1"/>
  </r>
  <r>
    <s v="ORD0483"/>
    <d v="2025-12-20T00:00:00"/>
    <x v="90"/>
    <x v="10"/>
    <x v="0"/>
    <n v="40"/>
    <x v="0"/>
    <x v="0"/>
    <x v="2"/>
    <x v="5"/>
    <n v="1"/>
    <n v="800"/>
    <n v="800"/>
    <x v="8"/>
    <x v="0"/>
  </r>
  <r>
    <s v="ORD0484"/>
    <d v="2025-06-17T00:00:00"/>
    <x v="93"/>
    <x v="8"/>
    <x v="0"/>
    <n v="53"/>
    <x v="6"/>
    <x v="4"/>
    <x v="0"/>
    <x v="9"/>
    <n v="2"/>
    <n v="2500"/>
    <n v="5000"/>
    <x v="3"/>
    <x v="2"/>
  </r>
  <r>
    <s v="ORD0485"/>
    <d v="2025-07-06T00:00:00"/>
    <x v="12"/>
    <x v="7"/>
    <x v="1"/>
    <n v="40"/>
    <x v="6"/>
    <x v="4"/>
    <x v="4"/>
    <x v="10"/>
    <n v="1"/>
    <n v="600"/>
    <n v="600"/>
    <x v="4"/>
    <x v="0"/>
  </r>
  <r>
    <s v="ORD0486"/>
    <d v="2025-12-26T00:00:00"/>
    <x v="61"/>
    <x v="15"/>
    <x v="1"/>
    <n v="55"/>
    <x v="2"/>
    <x v="0"/>
    <x v="2"/>
    <x v="6"/>
    <n v="4"/>
    <n v="1500"/>
    <n v="6000"/>
    <x v="8"/>
    <x v="2"/>
  </r>
  <r>
    <s v="ORD0487"/>
    <d v="2025-04-24T00:00:00"/>
    <x v="80"/>
    <x v="16"/>
    <x v="0"/>
    <n v="25"/>
    <x v="1"/>
    <x v="1"/>
    <x v="0"/>
    <x v="4"/>
    <n v="5"/>
    <n v="1500"/>
    <n v="7500"/>
    <x v="9"/>
    <x v="1"/>
  </r>
  <r>
    <s v="ORD0488"/>
    <d v="2025-10-29T00:00:00"/>
    <x v="12"/>
    <x v="13"/>
    <x v="1"/>
    <n v="54"/>
    <x v="2"/>
    <x v="0"/>
    <x v="1"/>
    <x v="17"/>
    <n v="5"/>
    <n v="1800"/>
    <n v="9000"/>
    <x v="1"/>
    <x v="2"/>
  </r>
  <r>
    <s v="ORD0489"/>
    <d v="2025-09-21T00:00:00"/>
    <x v="49"/>
    <x v="2"/>
    <x v="1"/>
    <n v="38"/>
    <x v="8"/>
    <x v="3"/>
    <x v="4"/>
    <x v="13"/>
    <n v="2"/>
    <n v="2500"/>
    <n v="5000"/>
    <x v="11"/>
    <x v="0"/>
  </r>
  <r>
    <s v="ORD0490"/>
    <d v="2025-10-19T00:00:00"/>
    <x v="53"/>
    <x v="12"/>
    <x v="1"/>
    <n v="55"/>
    <x v="5"/>
    <x v="3"/>
    <x v="0"/>
    <x v="4"/>
    <n v="5"/>
    <n v="1500"/>
    <n v="7500"/>
    <x v="1"/>
    <x v="2"/>
  </r>
  <r>
    <s v="ORD0491"/>
    <d v="2025-05-01T00:00:00"/>
    <x v="42"/>
    <x v="3"/>
    <x v="1"/>
    <n v="53"/>
    <x v="3"/>
    <x v="1"/>
    <x v="4"/>
    <x v="13"/>
    <n v="4"/>
    <n v="2500"/>
    <n v="10000"/>
    <x v="10"/>
    <x v="2"/>
  </r>
  <r>
    <s v="ORD0492"/>
    <d v="2025-06-13T00:00:00"/>
    <x v="1"/>
    <x v="6"/>
    <x v="0"/>
    <n v="33"/>
    <x v="9"/>
    <x v="5"/>
    <x v="2"/>
    <x v="6"/>
    <n v="1"/>
    <n v="1500"/>
    <n v="1500"/>
    <x v="3"/>
    <x v="1"/>
  </r>
  <r>
    <s v="ORD0493"/>
    <d v="2025-11-13T00:00:00"/>
    <x v="36"/>
    <x v="9"/>
    <x v="0"/>
    <n v="51"/>
    <x v="3"/>
    <x v="1"/>
    <x v="1"/>
    <x v="8"/>
    <n v="1"/>
    <n v="900"/>
    <n v="900"/>
    <x v="5"/>
    <x v="2"/>
  </r>
  <r>
    <s v="ORD0494"/>
    <d v="2025-01-03T00:00:00"/>
    <x v="69"/>
    <x v="2"/>
    <x v="1"/>
    <n v="54"/>
    <x v="4"/>
    <x v="2"/>
    <x v="3"/>
    <x v="7"/>
    <n v="3"/>
    <n v="500"/>
    <n v="1500"/>
    <x v="0"/>
    <x v="2"/>
  </r>
  <r>
    <s v="ORD0495"/>
    <d v="2025-01-29T00:00:00"/>
    <x v="44"/>
    <x v="17"/>
    <x v="0"/>
    <n v="41"/>
    <x v="2"/>
    <x v="0"/>
    <x v="4"/>
    <x v="19"/>
    <n v="5"/>
    <n v="3000"/>
    <n v="15000"/>
    <x v="0"/>
    <x v="0"/>
  </r>
  <r>
    <s v="ORD0496"/>
    <d v="2025-06-23T00:00:00"/>
    <x v="61"/>
    <x v="13"/>
    <x v="1"/>
    <n v="36"/>
    <x v="4"/>
    <x v="2"/>
    <x v="4"/>
    <x v="18"/>
    <n v="4"/>
    <n v="1800"/>
    <n v="7200"/>
    <x v="3"/>
    <x v="0"/>
  </r>
  <r>
    <s v="ORD0497"/>
    <d v="2025-11-24T00:00:00"/>
    <x v="97"/>
    <x v="3"/>
    <x v="1"/>
    <n v="50"/>
    <x v="8"/>
    <x v="3"/>
    <x v="2"/>
    <x v="12"/>
    <n v="5"/>
    <n v="600"/>
    <n v="3000"/>
    <x v="5"/>
    <x v="2"/>
  </r>
  <r>
    <s v="ORD0498"/>
    <d v="2025-08-31T00:00:00"/>
    <x v="62"/>
    <x v="3"/>
    <x v="1"/>
    <n v="26"/>
    <x v="2"/>
    <x v="0"/>
    <x v="3"/>
    <x v="14"/>
    <n v="5"/>
    <n v="900"/>
    <n v="4500"/>
    <x v="2"/>
    <x v="1"/>
  </r>
  <r>
    <s v="ORD0499"/>
    <d v="2025-06-05T00:00:00"/>
    <x v="69"/>
    <x v="6"/>
    <x v="0"/>
    <n v="35"/>
    <x v="9"/>
    <x v="5"/>
    <x v="1"/>
    <x v="8"/>
    <n v="3"/>
    <n v="900"/>
    <n v="2700"/>
    <x v="3"/>
    <x v="0"/>
  </r>
  <r>
    <s v="ORD0500"/>
    <d v="2025-01-14T00:00:00"/>
    <x v="7"/>
    <x v="16"/>
    <x v="0"/>
    <n v="27"/>
    <x v="7"/>
    <x v="0"/>
    <x v="2"/>
    <x v="12"/>
    <n v="5"/>
    <n v="600"/>
    <n v="300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State">
  <location ref="G3:H10" firstHeaderRow="1" firstDataRow="1" firstDataCol="1"/>
  <pivotFields count="15">
    <pivotField showAll="0"/>
    <pivotField numFmtId="164" showAll="0"/>
    <pivotField showAll="0"/>
    <pivotField showAll="0"/>
    <pivotField showAll="0">
      <items count="3">
        <item x="1"/>
        <item x="0"/>
        <item t="default"/>
      </items>
    </pivotField>
    <pivotField showAll="0"/>
    <pivotField showAll="0">
      <items count="11">
        <item x="8"/>
        <item x="3"/>
        <item x="9"/>
        <item x="6"/>
        <item x="4"/>
        <item x="2"/>
        <item x="1"/>
        <item x="7"/>
        <item x="0"/>
        <item x="5"/>
        <item t="default"/>
      </items>
    </pivotField>
    <pivotField axis="axisRow" showAll="0">
      <items count="7">
        <item x="5"/>
        <item x="3"/>
        <item x="1"/>
        <item x="0"/>
        <item x="2"/>
        <item x="4"/>
        <item t="default"/>
      </items>
    </pivotField>
    <pivotField showAll="0">
      <items count="6">
        <item x="2"/>
        <item x="3"/>
        <item x="0"/>
        <item x="4"/>
        <item x="1"/>
        <item t="default"/>
      </items>
    </pivotField>
    <pivotField showAll="0"/>
    <pivotField showAll="0"/>
    <pivotField showAll="0"/>
    <pivotField dataField="1" showAll="0"/>
    <pivotField showAll="0">
      <items count="13">
        <item x="0"/>
        <item x="6"/>
        <item x="7"/>
        <item x="9"/>
        <item x="10"/>
        <item x="3"/>
        <item x="4"/>
        <item x="2"/>
        <item x="11"/>
        <item x="1"/>
        <item x="5"/>
        <item x="8"/>
        <item t="default"/>
      </items>
    </pivotField>
    <pivotField showAll="0"/>
  </pivotFields>
  <rowFields count="1">
    <field x="7"/>
  </rowFields>
  <rowItems count="7">
    <i>
      <x/>
    </i>
    <i>
      <x v="1"/>
    </i>
    <i>
      <x v="2"/>
    </i>
    <i>
      <x v="3"/>
    </i>
    <i>
      <x v="4"/>
    </i>
    <i>
      <x v="5"/>
    </i>
    <i t="grand">
      <x/>
    </i>
  </rowItems>
  <colItems count="1">
    <i/>
  </colItems>
  <dataFields count="1">
    <dataField name="Sum of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Customer Name">
  <location ref="A35:C46" firstHeaderRow="0" firstDataRow="1" firstDataCol="1"/>
  <pivotFields count="15">
    <pivotField dataField="1" showAll="0"/>
    <pivotField numFmtId="164" showAll="0"/>
    <pivotField showAll="0"/>
    <pivotField axis="axisRow" showAll="0" measureFilter="1" sortType="descending">
      <items count="21">
        <item x="2"/>
        <item x="17"/>
        <item x="4"/>
        <item x="18"/>
        <item x="6"/>
        <item x="0"/>
        <item x="9"/>
        <item x="15"/>
        <item x="11"/>
        <item x="7"/>
        <item x="19"/>
        <item x="3"/>
        <item x="13"/>
        <item x="8"/>
        <item x="1"/>
        <item x="16"/>
        <item x="10"/>
        <item x="12"/>
        <item x="5"/>
        <item x="1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1">
        <item x="8"/>
        <item x="3"/>
        <item x="9"/>
        <item x="6"/>
        <item x="4"/>
        <item x="2"/>
        <item x="1"/>
        <item x="7"/>
        <item x="0"/>
        <item x="5"/>
        <item t="default"/>
      </items>
    </pivotField>
    <pivotField showAll="0">
      <items count="7">
        <item x="5"/>
        <item x="3"/>
        <item x="1"/>
        <item x="0"/>
        <item x="2"/>
        <item x="4"/>
        <item t="default"/>
      </items>
    </pivotField>
    <pivotField showAll="0">
      <items count="6">
        <item x="2"/>
        <item x="3"/>
        <item x="0"/>
        <item x="4"/>
        <item x="1"/>
        <item t="default"/>
      </items>
    </pivotField>
    <pivotField showAll="0"/>
    <pivotField showAll="0"/>
    <pivotField showAll="0"/>
    <pivotField dataField="1" showAll="0"/>
    <pivotField showAll="0">
      <items count="13">
        <item x="0"/>
        <item x="6"/>
        <item x="7"/>
        <item x="9"/>
        <item x="10"/>
        <item x="3"/>
        <item x="4"/>
        <item x="2"/>
        <item x="11"/>
        <item x="1"/>
        <item x="5"/>
        <item x="8"/>
        <item t="default"/>
      </items>
    </pivotField>
    <pivotField showAll="0"/>
  </pivotFields>
  <rowFields count="1">
    <field x="3"/>
  </rowFields>
  <rowItems count="11">
    <i>
      <x v="15"/>
    </i>
    <i>
      <x v="18"/>
    </i>
    <i>
      <x v="14"/>
    </i>
    <i>
      <x v="1"/>
    </i>
    <i>
      <x v="10"/>
    </i>
    <i>
      <x v="6"/>
    </i>
    <i>
      <x v="12"/>
    </i>
    <i>
      <x v="9"/>
    </i>
    <i>
      <x v="2"/>
    </i>
    <i>
      <x v="17"/>
    </i>
    <i t="grand">
      <x/>
    </i>
  </rowItems>
  <colFields count="1">
    <field x="-2"/>
  </colFields>
  <colItems count="2">
    <i>
      <x/>
    </i>
    <i i="1">
      <x v="1"/>
    </i>
  </colItems>
  <dataFields count="2">
    <dataField name="Sum of Sales" fld="12" baseField="3" baseItem="0"/>
    <dataField name="Count of Order ID" fld="0"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Category">
  <location ref="D3:E9" firstHeaderRow="1" firstDataRow="1" firstDataCol="1"/>
  <pivotFields count="15">
    <pivotField showAll="0"/>
    <pivotField numFmtId="164" showAll="0"/>
    <pivotField showAll="0"/>
    <pivotField showAll="0"/>
    <pivotField showAll="0">
      <items count="3">
        <item x="1"/>
        <item x="0"/>
        <item t="default"/>
      </items>
    </pivotField>
    <pivotField showAll="0"/>
    <pivotField showAll="0">
      <items count="11">
        <item x="8"/>
        <item x="3"/>
        <item x="9"/>
        <item x="6"/>
        <item x="4"/>
        <item x="2"/>
        <item x="1"/>
        <item x="7"/>
        <item x="0"/>
        <item x="5"/>
        <item t="default"/>
      </items>
    </pivotField>
    <pivotField showAll="0">
      <items count="7">
        <item x="5"/>
        <item x="3"/>
        <item x="1"/>
        <item x="0"/>
        <item x="2"/>
        <item x="4"/>
        <item t="default"/>
      </items>
    </pivotField>
    <pivotField axis="axisRow" showAll="0">
      <items count="6">
        <item x="2"/>
        <item x="3"/>
        <item x="0"/>
        <item x="4"/>
        <item x="1"/>
        <item t="default"/>
      </items>
    </pivotField>
    <pivotField showAll="0"/>
    <pivotField showAll="0"/>
    <pivotField showAll="0"/>
    <pivotField dataField="1" showAll="0"/>
    <pivotField showAll="0">
      <items count="13">
        <item x="0"/>
        <item x="6"/>
        <item x="7"/>
        <item x="9"/>
        <item x="10"/>
        <item x="3"/>
        <item x="4"/>
        <item x="2"/>
        <item x="11"/>
        <item x="1"/>
        <item x="5"/>
        <item x="8"/>
        <item t="default"/>
      </items>
    </pivotField>
    <pivotField showAll="0"/>
  </pivotFields>
  <rowFields count="1">
    <field x="8"/>
  </rowFields>
  <rowItems count="6">
    <i>
      <x/>
    </i>
    <i>
      <x v="1"/>
    </i>
    <i>
      <x v="2"/>
    </i>
    <i>
      <x v="3"/>
    </i>
    <i>
      <x v="4"/>
    </i>
    <i t="grand">
      <x/>
    </i>
  </rowItems>
  <colItems count="1">
    <i/>
  </colItems>
  <dataFields count="1">
    <dataField name="Sum of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Product">
  <location ref="G12:H33" firstHeaderRow="1" firstDataRow="1" firstDataCol="1"/>
  <pivotFields count="15">
    <pivotField showAll="0"/>
    <pivotField numFmtId="164" showAll="0"/>
    <pivotField showAll="0"/>
    <pivotField showAll="0">
      <items count="21">
        <item x="2"/>
        <item x="17"/>
        <item x="4"/>
        <item x="18"/>
        <item x="6"/>
        <item x="0"/>
        <item x="9"/>
        <item x="15"/>
        <item x="11"/>
        <item x="7"/>
        <item x="19"/>
        <item x="3"/>
        <item x="13"/>
        <item x="8"/>
        <item x="1"/>
        <item x="16"/>
        <item x="10"/>
        <item x="12"/>
        <item x="5"/>
        <item x="14"/>
        <item t="default"/>
      </items>
    </pivotField>
    <pivotField showAll="0">
      <items count="3">
        <item x="1"/>
        <item x="0"/>
        <item t="default"/>
      </items>
    </pivotField>
    <pivotField showAll="0"/>
    <pivotField showAll="0">
      <items count="11">
        <item x="8"/>
        <item x="3"/>
        <item x="9"/>
        <item x="6"/>
        <item x="4"/>
        <item x="2"/>
        <item x="1"/>
        <item x="7"/>
        <item x="0"/>
        <item x="5"/>
        <item t="default"/>
      </items>
    </pivotField>
    <pivotField showAll="0">
      <items count="7">
        <item x="5"/>
        <item x="3"/>
        <item x="1"/>
        <item x="0"/>
        <item x="2"/>
        <item x="4"/>
        <item t="default"/>
      </items>
    </pivotField>
    <pivotField showAll="0">
      <items count="6">
        <item x="2"/>
        <item x="3"/>
        <item x="0"/>
        <item x="4"/>
        <item x="1"/>
        <item t="default"/>
      </items>
    </pivotField>
    <pivotField axis="axisRow" showAll="0">
      <items count="21">
        <item x="15"/>
        <item x="16"/>
        <item x="2"/>
        <item x="3"/>
        <item x="4"/>
        <item x="13"/>
        <item x="18"/>
        <item x="9"/>
        <item x="1"/>
        <item x="5"/>
        <item x="12"/>
        <item x="11"/>
        <item x="7"/>
        <item x="6"/>
        <item x="19"/>
        <item x="0"/>
        <item x="14"/>
        <item x="10"/>
        <item x="8"/>
        <item x="17"/>
        <item t="default"/>
      </items>
    </pivotField>
    <pivotField showAll="0"/>
    <pivotField showAll="0"/>
    <pivotField dataField="1" showAll="0"/>
    <pivotField showAll="0">
      <items count="13">
        <item x="0"/>
        <item x="6"/>
        <item x="7"/>
        <item x="9"/>
        <item x="10"/>
        <item x="3"/>
        <item x="4"/>
        <item x="2"/>
        <item x="11"/>
        <item x="1"/>
        <item x="5"/>
        <item x="8"/>
        <item t="default"/>
      </items>
    </pivotField>
    <pivotField showAll="0"/>
  </pivotFields>
  <rowFields count="1">
    <field x="9"/>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Customer ID">
  <location ref="M10:N109" firstHeaderRow="1" firstDataRow="1" firstDataCol="1"/>
  <pivotFields count="15">
    <pivotField showAll="0"/>
    <pivotField numFmtId="164" showAll="0"/>
    <pivotField axis="axisRow" dataField="1" showAll="0">
      <items count="99">
        <item x="85"/>
        <item x="59"/>
        <item x="34"/>
        <item x="68"/>
        <item x="47"/>
        <item x="80"/>
        <item x="38"/>
        <item x="8"/>
        <item x="76"/>
        <item x="27"/>
        <item x="53"/>
        <item x="88"/>
        <item x="4"/>
        <item x="15"/>
        <item x="77"/>
        <item x="24"/>
        <item x="82"/>
        <item x="9"/>
        <item x="49"/>
        <item x="20"/>
        <item x="21"/>
        <item x="58"/>
        <item x="89"/>
        <item x="17"/>
        <item x="3"/>
        <item x="39"/>
        <item x="87"/>
        <item x="55"/>
        <item x="91"/>
        <item x="26"/>
        <item x="72"/>
        <item x="48"/>
        <item x="83"/>
        <item x="0"/>
        <item x="44"/>
        <item x="40"/>
        <item x="12"/>
        <item x="32"/>
        <item x="13"/>
        <item x="84"/>
        <item x="65"/>
        <item x="95"/>
        <item x="7"/>
        <item x="18"/>
        <item x="97"/>
        <item x="94"/>
        <item x="25"/>
        <item x="11"/>
        <item x="45"/>
        <item x="46"/>
        <item x="37"/>
        <item x="56"/>
        <item x="96"/>
        <item x="64"/>
        <item x="35"/>
        <item x="14"/>
        <item x="6"/>
        <item x="29"/>
        <item x="33"/>
        <item x="50"/>
        <item x="93"/>
        <item x="74"/>
        <item x="60"/>
        <item x="79"/>
        <item x="92"/>
        <item x="73"/>
        <item x="51"/>
        <item x="2"/>
        <item x="70"/>
        <item x="86"/>
        <item x="81"/>
        <item x="78"/>
        <item x="43"/>
        <item x="57"/>
        <item x="75"/>
        <item x="61"/>
        <item x="30"/>
        <item x="31"/>
        <item x="16"/>
        <item x="28"/>
        <item x="42"/>
        <item x="41"/>
        <item x="1"/>
        <item x="63"/>
        <item x="71"/>
        <item x="5"/>
        <item x="52"/>
        <item x="62"/>
        <item x="22"/>
        <item x="19"/>
        <item x="54"/>
        <item x="66"/>
        <item x="67"/>
        <item x="90"/>
        <item x="36"/>
        <item x="69"/>
        <item x="23"/>
        <item x="10"/>
        <item t="default"/>
      </items>
    </pivotField>
    <pivotField showAll="0"/>
    <pivotField showAll="0">
      <items count="3">
        <item x="1"/>
        <item x="0"/>
        <item t="default"/>
      </items>
    </pivotField>
    <pivotField showAll="0"/>
    <pivotField showAll="0">
      <items count="11">
        <item x="8"/>
        <item x="3"/>
        <item x="9"/>
        <item x="6"/>
        <item x="4"/>
        <item x="2"/>
        <item x="1"/>
        <item x="7"/>
        <item x="0"/>
        <item x="5"/>
        <item t="default"/>
      </items>
    </pivotField>
    <pivotField showAll="0">
      <items count="7">
        <item x="5"/>
        <item x="3"/>
        <item x="1"/>
        <item x="0"/>
        <item x="2"/>
        <item x="4"/>
        <item t="default"/>
      </items>
    </pivotField>
    <pivotField showAll="0">
      <items count="6">
        <item x="2"/>
        <item x="3"/>
        <item x="0"/>
        <item x="4"/>
        <item x="1"/>
        <item t="default"/>
      </items>
    </pivotField>
    <pivotField showAll="0"/>
    <pivotField showAll="0"/>
    <pivotField showAll="0"/>
    <pivotField showAll="0"/>
    <pivotField showAll="0">
      <items count="13">
        <item x="0"/>
        <item x="6"/>
        <item x="7"/>
        <item x="9"/>
        <item x="10"/>
        <item x="3"/>
        <item x="4"/>
        <item x="2"/>
        <item x="11"/>
        <item x="1"/>
        <item x="5"/>
        <item x="8"/>
        <item t="default"/>
      </items>
    </pivotField>
    <pivotField showAll="0"/>
  </pivotFields>
  <rowFields count="1">
    <field x="2"/>
  </rowFields>
  <rowItems count="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t="grand">
      <x/>
    </i>
  </rowItems>
  <colItems count="1">
    <i/>
  </colItems>
  <dataFields count="1">
    <dataField name="Count of Order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Month">
  <location ref="A3:B16" firstHeaderRow="1" firstDataRow="1" firstDataCol="1"/>
  <pivotFields count="15">
    <pivotField showAll="0"/>
    <pivotField numFmtId="164" showAll="0"/>
    <pivotField showAll="0"/>
    <pivotField showAll="0"/>
    <pivotField showAll="0">
      <items count="3">
        <item x="1"/>
        <item x="0"/>
        <item t="default"/>
      </items>
    </pivotField>
    <pivotField showAll="0"/>
    <pivotField showAll="0">
      <items count="11">
        <item x="8"/>
        <item x="3"/>
        <item x="9"/>
        <item x="6"/>
        <item x="4"/>
        <item x="2"/>
        <item x="1"/>
        <item x="7"/>
        <item x="0"/>
        <item x="5"/>
        <item t="default"/>
      </items>
    </pivotField>
    <pivotField showAll="0">
      <items count="7">
        <item x="5"/>
        <item x="3"/>
        <item x="1"/>
        <item x="0"/>
        <item x="2"/>
        <item x="4"/>
        <item t="default"/>
      </items>
    </pivotField>
    <pivotField showAll="0">
      <items count="6">
        <item x="2"/>
        <item x="3"/>
        <item x="0"/>
        <item x="4"/>
        <item x="1"/>
        <item t="default"/>
      </items>
    </pivotField>
    <pivotField showAll="0"/>
    <pivotField showAll="0"/>
    <pivotField showAll="0"/>
    <pivotField dataField="1" showAll="0"/>
    <pivotField axis="axisRow" showAll="0">
      <items count="13">
        <item x="0"/>
        <item x="6"/>
        <item x="7"/>
        <item x="9"/>
        <item x="10"/>
        <item x="3"/>
        <item x="4"/>
        <item x="2"/>
        <item x="11"/>
        <item x="1"/>
        <item x="5"/>
        <item x="8"/>
        <item t="default"/>
      </items>
    </pivotField>
    <pivotField showAll="0"/>
  </pivotFields>
  <rowFields count="1">
    <field x="13"/>
  </rowFields>
  <rowItems count="13">
    <i>
      <x/>
    </i>
    <i>
      <x v="1"/>
    </i>
    <i>
      <x v="2"/>
    </i>
    <i>
      <x v="3"/>
    </i>
    <i>
      <x v="4"/>
    </i>
    <i>
      <x v="5"/>
    </i>
    <i>
      <x v="6"/>
    </i>
    <i>
      <x v="7"/>
    </i>
    <i>
      <x v="8"/>
    </i>
    <i>
      <x v="9"/>
    </i>
    <i>
      <x v="10"/>
    </i>
    <i>
      <x v="11"/>
    </i>
    <i t="grand">
      <x/>
    </i>
  </rowItems>
  <colItems count="1">
    <i/>
  </colItems>
  <dataFields count="1">
    <dataField name="Sum of Sales"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rowHeaderCaption="Gender">
  <location ref="J3:K6" firstHeaderRow="1" firstDataRow="1" firstDataCol="1"/>
  <pivotFields count="15">
    <pivotField showAll="0"/>
    <pivotField numFmtId="164" showAll="0"/>
    <pivotField showAll="0"/>
    <pivotField showAll="0"/>
    <pivotField axis="axisRow" showAll="0">
      <items count="3">
        <item x="1"/>
        <item x="0"/>
        <item t="default"/>
      </items>
    </pivotField>
    <pivotField showAll="0"/>
    <pivotField showAll="0">
      <items count="11">
        <item x="8"/>
        <item x="3"/>
        <item x="9"/>
        <item x="6"/>
        <item x="4"/>
        <item x="2"/>
        <item x="1"/>
        <item x="7"/>
        <item x="0"/>
        <item x="5"/>
        <item t="default"/>
      </items>
    </pivotField>
    <pivotField showAll="0">
      <items count="7">
        <item x="5"/>
        <item x="3"/>
        <item x="1"/>
        <item x="0"/>
        <item x="2"/>
        <item x="4"/>
        <item t="default"/>
      </items>
    </pivotField>
    <pivotField showAll="0">
      <items count="6">
        <item x="2"/>
        <item x="3"/>
        <item x="0"/>
        <item x="4"/>
        <item x="1"/>
        <item t="default"/>
      </items>
    </pivotField>
    <pivotField showAll="0"/>
    <pivotField showAll="0"/>
    <pivotField showAll="0"/>
    <pivotField dataField="1" showAll="0"/>
    <pivotField showAll="0">
      <items count="13">
        <item x="0"/>
        <item x="6"/>
        <item x="7"/>
        <item x="9"/>
        <item x="10"/>
        <item x="3"/>
        <item x="4"/>
        <item x="2"/>
        <item x="11"/>
        <item x="1"/>
        <item x="5"/>
        <item x="8"/>
        <item t="default"/>
      </items>
    </pivotField>
    <pivotField showAll="0"/>
  </pivotFields>
  <rowFields count="1">
    <field x="4"/>
  </rowFields>
  <rowItems count="3">
    <i>
      <x/>
    </i>
    <i>
      <x v="1"/>
    </i>
    <i t="grand">
      <x/>
    </i>
  </rowItems>
  <colItems count="1">
    <i/>
  </colItems>
  <dataFields count="1">
    <dataField name="Sum of Sales" fld="12" baseField="0" baseItem="0"/>
  </dataFields>
  <chartFormats count="3">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City">
  <location ref="J10:K21" firstHeaderRow="1" firstDataRow="1" firstDataCol="1"/>
  <pivotFields count="15">
    <pivotField showAll="0"/>
    <pivotField numFmtId="164" showAll="0"/>
    <pivotField showAll="0"/>
    <pivotField showAll="0"/>
    <pivotField showAll="0">
      <items count="3">
        <item x="1"/>
        <item x="0"/>
        <item t="default"/>
      </items>
    </pivotField>
    <pivotField showAll="0"/>
    <pivotField axis="axisRow" showAll="0">
      <items count="11">
        <item x="8"/>
        <item x="3"/>
        <item x="9"/>
        <item x="6"/>
        <item x="4"/>
        <item x="2"/>
        <item x="1"/>
        <item x="7"/>
        <item x="0"/>
        <item x="5"/>
        <item t="default"/>
      </items>
    </pivotField>
    <pivotField showAll="0">
      <items count="7">
        <item x="5"/>
        <item x="3"/>
        <item x="1"/>
        <item x="0"/>
        <item x="2"/>
        <item x="4"/>
        <item t="default"/>
      </items>
    </pivotField>
    <pivotField showAll="0">
      <items count="6">
        <item x="2"/>
        <item x="3"/>
        <item x="0"/>
        <item x="4"/>
        <item x="1"/>
        <item t="default"/>
      </items>
    </pivotField>
    <pivotField showAll="0"/>
    <pivotField showAll="0"/>
    <pivotField showAll="0"/>
    <pivotField dataField="1" showAll="0"/>
    <pivotField showAll="0">
      <items count="13">
        <item x="0"/>
        <item x="6"/>
        <item x="7"/>
        <item x="9"/>
        <item x="10"/>
        <item x="3"/>
        <item x="4"/>
        <item x="2"/>
        <item x="11"/>
        <item x="1"/>
        <item x="5"/>
        <item x="8"/>
        <item t="default"/>
      </items>
    </pivotField>
    <pivotField showAll="0"/>
  </pivotFields>
  <rowFields count="1">
    <field x="6"/>
  </rowFields>
  <rowItems count="11">
    <i>
      <x/>
    </i>
    <i>
      <x v="1"/>
    </i>
    <i>
      <x v="2"/>
    </i>
    <i>
      <x v="3"/>
    </i>
    <i>
      <x v="4"/>
    </i>
    <i>
      <x v="5"/>
    </i>
    <i>
      <x v="6"/>
    </i>
    <i>
      <x v="7"/>
    </i>
    <i>
      <x v="8"/>
    </i>
    <i>
      <x v="9"/>
    </i>
    <i t="grand">
      <x/>
    </i>
  </rowItems>
  <colItems count="1">
    <i/>
  </colItems>
  <dataFields count="1">
    <dataField name="Sum of Sales"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rowHeaderCaption="Customer Name">
  <location ref="D12:E33" firstHeaderRow="1" firstDataRow="1" firstDataCol="1"/>
  <pivotFields count="15">
    <pivotField showAll="0"/>
    <pivotField numFmtId="164" showAll="0"/>
    <pivotField showAll="0"/>
    <pivotField axis="axisRow" showAll="0">
      <items count="21">
        <item x="2"/>
        <item x="17"/>
        <item x="4"/>
        <item x="18"/>
        <item x="6"/>
        <item x="0"/>
        <item x="9"/>
        <item x="15"/>
        <item x="11"/>
        <item x="7"/>
        <item x="19"/>
        <item x="3"/>
        <item x="13"/>
        <item x="8"/>
        <item x="1"/>
        <item x="16"/>
        <item x="10"/>
        <item x="12"/>
        <item x="5"/>
        <item x="14"/>
        <item t="default"/>
      </items>
    </pivotField>
    <pivotField showAll="0">
      <items count="3">
        <item x="1"/>
        <item x="0"/>
        <item t="default"/>
      </items>
    </pivotField>
    <pivotField showAll="0"/>
    <pivotField showAll="0">
      <items count="11">
        <item x="8"/>
        <item x="3"/>
        <item x="9"/>
        <item x="6"/>
        <item x="4"/>
        <item x="2"/>
        <item x="1"/>
        <item x="7"/>
        <item x="0"/>
        <item x="5"/>
        <item t="default"/>
      </items>
    </pivotField>
    <pivotField showAll="0">
      <items count="7">
        <item x="5"/>
        <item x="3"/>
        <item x="1"/>
        <item x="0"/>
        <item x="2"/>
        <item x="4"/>
        <item t="default"/>
      </items>
    </pivotField>
    <pivotField showAll="0">
      <items count="6">
        <item x="2"/>
        <item x="3"/>
        <item x="0"/>
        <item x="4"/>
        <item x="1"/>
        <item t="default"/>
      </items>
    </pivotField>
    <pivotField showAll="0"/>
    <pivotField showAll="0"/>
    <pivotField showAll="0"/>
    <pivotField dataField="1" showAll="0"/>
    <pivotField showAll="0">
      <items count="13">
        <item x="0"/>
        <item x="6"/>
        <item x="7"/>
        <item x="9"/>
        <item x="10"/>
        <item x="3"/>
        <item x="4"/>
        <item x="2"/>
        <item x="11"/>
        <item x="1"/>
        <item x="5"/>
        <item x="8"/>
        <item t="default"/>
      </items>
    </pivotField>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12" baseField="0" baseItem="0"/>
  </dataFields>
  <chartFormats count="2">
    <chartFormat chart="2"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Age Group">
  <location ref="M3:N8" firstHeaderRow="1" firstDataRow="1" firstDataCol="1"/>
  <pivotFields count="15">
    <pivotField showAll="0"/>
    <pivotField numFmtId="164" showAll="0"/>
    <pivotField showAll="0"/>
    <pivotField showAll="0"/>
    <pivotField showAll="0">
      <items count="3">
        <item x="1"/>
        <item x="0"/>
        <item t="default"/>
      </items>
    </pivotField>
    <pivotField showAll="0"/>
    <pivotField showAll="0">
      <items count="11">
        <item x="8"/>
        <item x="3"/>
        <item x="9"/>
        <item x="6"/>
        <item x="4"/>
        <item x="2"/>
        <item x="1"/>
        <item x="7"/>
        <item x="0"/>
        <item x="5"/>
        <item t="default"/>
      </items>
    </pivotField>
    <pivotField showAll="0">
      <items count="7">
        <item x="5"/>
        <item x="3"/>
        <item x="1"/>
        <item x="0"/>
        <item x="2"/>
        <item x="4"/>
        <item t="default"/>
      </items>
    </pivotField>
    <pivotField showAll="0">
      <items count="6">
        <item x="2"/>
        <item x="3"/>
        <item x="0"/>
        <item x="4"/>
        <item x="1"/>
        <item t="default"/>
      </items>
    </pivotField>
    <pivotField showAll="0"/>
    <pivotField showAll="0"/>
    <pivotField showAll="0"/>
    <pivotField dataField="1" showAll="0"/>
    <pivotField showAll="0">
      <items count="13">
        <item x="0"/>
        <item x="6"/>
        <item x="7"/>
        <item x="9"/>
        <item x="10"/>
        <item x="3"/>
        <item x="4"/>
        <item x="2"/>
        <item x="11"/>
        <item x="1"/>
        <item x="5"/>
        <item x="8"/>
        <item t="default"/>
      </items>
    </pivotField>
    <pivotField axis="axisRow" showAll="0">
      <items count="5">
        <item x="3"/>
        <item x="1"/>
        <item x="0"/>
        <item x="2"/>
        <item t="default"/>
      </items>
    </pivotField>
  </pivotFields>
  <rowFields count="1">
    <field x="14"/>
  </rowFields>
  <rowItems count="5">
    <i>
      <x/>
    </i>
    <i>
      <x v="1"/>
    </i>
    <i>
      <x v="2"/>
    </i>
    <i>
      <x v="3"/>
    </i>
    <i t="grand">
      <x/>
    </i>
  </rowItems>
  <colItems count="1">
    <i/>
  </colItems>
  <dataFields count="1">
    <dataField name="Sum of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P16:P17" firstHeaderRow="1" firstDataRow="1" firstDataCol="0"/>
  <pivotFields count="15">
    <pivotField showAll="0"/>
    <pivotField numFmtId="164" showAll="0"/>
    <pivotField dataField="1" showAll="0"/>
    <pivotField showAll="0"/>
    <pivotField showAll="0">
      <items count="3">
        <item x="1"/>
        <item x="0"/>
        <item t="default"/>
      </items>
    </pivotField>
    <pivotField showAll="0"/>
    <pivotField showAll="0">
      <items count="11">
        <item x="8"/>
        <item x="3"/>
        <item x="9"/>
        <item x="6"/>
        <item x="4"/>
        <item x="2"/>
        <item x="1"/>
        <item x="7"/>
        <item x="0"/>
        <item x="5"/>
        <item t="default"/>
      </items>
    </pivotField>
    <pivotField showAll="0">
      <items count="7">
        <item x="5"/>
        <item x="3"/>
        <item x="1"/>
        <item x="0"/>
        <item x="2"/>
        <item x="4"/>
        <item t="default"/>
      </items>
    </pivotField>
    <pivotField showAll="0">
      <items count="6">
        <item x="2"/>
        <item x="3"/>
        <item x="0"/>
        <item x="4"/>
        <item x="1"/>
        <item t="default"/>
      </items>
    </pivotField>
    <pivotField showAll="0"/>
    <pivotField showAll="0"/>
    <pivotField showAll="0"/>
    <pivotField showAll="0"/>
    <pivotField showAll="0">
      <items count="13">
        <item x="0"/>
        <item x="6"/>
        <item x="7"/>
        <item x="9"/>
        <item x="10"/>
        <item x="3"/>
        <item x="4"/>
        <item x="2"/>
        <item x="11"/>
        <item x="1"/>
        <item x="5"/>
        <item x="8"/>
        <item t="default"/>
      </items>
    </pivotField>
    <pivotField showAll="0"/>
  </pivotFields>
  <rowItems count="1">
    <i/>
  </rowItems>
  <colItems count="1">
    <i/>
  </colItem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4"/>
    <pivotTable tabId="1" name="PivotTable13"/>
    <pivotTable tabId="3" name="PivotTable1"/>
    <pivotTable tabId="3" name="PivotTable10"/>
    <pivotTable tabId="3" name="PivotTable11"/>
    <pivotTable tabId="3" name="PivotTable12"/>
    <pivotTable tabId="3" name="PivotTable16"/>
    <pivotTable tabId="3" name="PivotTable2"/>
    <pivotTable tabId="3" name="PivotTable25"/>
    <pivotTable tabId="3" name="PivotTable3"/>
    <pivotTable tabId="3" name="PivotTable5"/>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 name="PivotTable3"/>
    <pivotTable tabId="1" name="PivotTable13"/>
    <pivotTable tabId="3" name="PivotTable1"/>
    <pivotTable tabId="3" name="PivotTable10"/>
    <pivotTable tabId="3" name="PivotTable11"/>
    <pivotTable tabId="3" name="PivotTable12"/>
    <pivotTable tabId="3" name="PivotTable16"/>
    <pivotTable tabId="3" name="PivotTable2"/>
    <pivotTable tabId="3" name="PivotTable25"/>
    <pivotTable tabId="3" name="PivotTable4"/>
    <pivotTable tabId="3" name="PivotTable5"/>
  </pivotTables>
  <data>
    <tabular pivotCacheId="1">
      <items count="6">
        <i x="5" s="1"/>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 tabId="1" name="PivotTable13"/>
    <pivotTable tabId="3" name="PivotTable1"/>
    <pivotTable tabId="3" name="PivotTable10"/>
    <pivotTable tabId="3" name="PivotTable11"/>
    <pivotTable tabId="3" name="PivotTable12"/>
    <pivotTable tabId="3" name="PivotTable16"/>
    <pivotTable tabId="3" name="PivotTable25"/>
    <pivotTable tabId="3" name="PivotTable3"/>
    <pivotTable tabId="3" name="PivotTable4"/>
    <pivotTable tabId="3" name="PivotTable5"/>
  </pivotTables>
  <data>
    <tabular pivotCacheId="1">
      <items count="5">
        <i x="2" s="1"/>
        <i x="3" s="1"/>
        <i x="0"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 tabId="1" name="PivotTable13"/>
    <pivotTable tabId="3" name="PivotTable10"/>
    <pivotTable tabId="3" name="PivotTable11"/>
    <pivotTable tabId="3" name="PivotTable12"/>
    <pivotTable tabId="3" name="PivotTable16"/>
    <pivotTable tabId="3" name="PivotTable2"/>
    <pivotTable tabId="3" name="PivotTable25"/>
    <pivotTable tabId="3" name="PivotTable3"/>
    <pivotTable tabId="3" name="PivotTable4"/>
    <pivotTable tabId="3" name="PivotTable5"/>
  </pivotTables>
  <data>
    <tabular pivotCacheId="1">
      <items count="12">
        <i x="0" s="1"/>
        <i x="6" s="1"/>
        <i x="7" s="1"/>
        <i x="9" s="1"/>
        <i x="10" s="1"/>
        <i x="3" s="1"/>
        <i x="4" s="1"/>
        <i x="2" s="1"/>
        <i x="11" s="1"/>
        <i x="1" s="1"/>
        <i x="5"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12"/>
    <pivotTable tabId="1" name="PivotTable13"/>
    <pivotTable tabId="3" name="PivotTable1"/>
    <pivotTable tabId="3" name="PivotTable10"/>
    <pivotTable tabId="3" name="PivotTable11"/>
    <pivotTable tabId="3" name="PivotTable16"/>
    <pivotTable tabId="3" name="PivotTable2"/>
    <pivotTable tabId="3" name="PivotTable25"/>
    <pivotTable tabId="3" name="PivotTable3"/>
    <pivotTable tabId="3" name="PivotTable4"/>
    <pivotTable tabId="3" name="PivotTable5"/>
  </pivotTables>
  <data>
    <tabular pivotCacheId="1">
      <items count="10">
        <i x="8" s="1"/>
        <i x="3" s="1"/>
        <i x="9" s="1"/>
        <i x="6" s="1"/>
        <i x="4" s="1"/>
        <i x="2" s="1"/>
        <i x="1" s="1"/>
        <i x="7"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41300"/>
  <slicer name="State 1" cache="Slicer_State" caption="State" rowHeight="241300"/>
  <slicer name="Category 1" cache="Slicer_Category" caption="Category" rowHeight="241300"/>
  <slicer name="Month 1" cache="Slicer_Month" caption="Month" startItem="4" rowHeight="241300"/>
  <slicer name="City 1" cache="Slicer_City" caption="City" rowHeight="241300"/>
</slicers>
</file>

<file path=xl/tables/table1.xml><?xml version="1.0" encoding="utf-8"?>
<table xmlns="http://schemas.openxmlformats.org/spreadsheetml/2006/main" id="2" name="Table2" displayName="Table2" ref="A1:O501" totalsRowShown="0" headerRowDxfId="1">
  <autoFilter ref="A1:O501"/>
  <tableColumns count="15">
    <tableColumn id="1" name="Order ID"/>
    <tableColumn id="2" name="Order Date" dataDxfId="0"/>
    <tableColumn id="3" name="Customer ID"/>
    <tableColumn id="4" name="Customer Name"/>
    <tableColumn id="5" name="Gender"/>
    <tableColumn id="6" name="Age"/>
    <tableColumn id="7" name="City"/>
    <tableColumn id="8" name="State"/>
    <tableColumn id="9" name="Category"/>
    <tableColumn id="10" name="Product"/>
    <tableColumn id="11" name="Quantity"/>
    <tableColumn id="12" name="Unit Price"/>
    <tableColumn id="13" name="Sales"/>
    <tableColumn id="14" name="Month">
      <calculatedColumnFormula>TEXT(B2,"mmm")</calculatedColumnFormula>
    </tableColumn>
    <tableColumn id="15" name="Age Group">
      <calculatedColumnFormula>IF(F2&lt;25,"18-24",IF(F2&lt;35,"25-34",IF(F2&lt;45,"35-44","45+")))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9"/>
  <sheetViews>
    <sheetView topLeftCell="C1" workbookViewId="0">
      <selection activeCell="Q26" sqref="Q26"/>
    </sheetView>
  </sheetViews>
  <sheetFormatPr defaultRowHeight="15" x14ac:dyDescent="0.25"/>
  <cols>
    <col min="1" max="1" width="17.7109375" customWidth="1"/>
    <col min="2" max="2" width="12.140625" bestFit="1" customWidth="1"/>
    <col min="3" max="3" width="16.5703125" bestFit="1" customWidth="1"/>
    <col min="4" max="4" width="11.85546875" customWidth="1"/>
    <col min="5" max="5" width="12.140625" bestFit="1" customWidth="1"/>
    <col min="6" max="6" width="4.28515625" customWidth="1"/>
    <col min="7" max="7" width="12" customWidth="1"/>
    <col min="8" max="8" width="12.140625" bestFit="1" customWidth="1"/>
    <col min="9" max="9" width="3.5703125" customWidth="1"/>
    <col min="10" max="10" width="11.28515625" customWidth="1"/>
    <col min="11" max="11" width="12.140625" bestFit="1" customWidth="1"/>
    <col min="12" max="12" width="2.140625" customWidth="1"/>
    <col min="13" max="13" width="12.7109375" customWidth="1"/>
    <col min="14" max="14" width="12.140625" customWidth="1"/>
    <col min="15" max="15" width="14.7109375" customWidth="1"/>
    <col min="16" max="16" width="4" customWidth="1"/>
    <col min="17" max="17" width="25.5703125" bestFit="1" customWidth="1"/>
  </cols>
  <sheetData>
    <row r="1" spans="1:17" ht="12" customHeight="1" x14ac:dyDescent="0.25"/>
    <row r="2" spans="1:17" ht="7.5" customHeight="1" x14ac:dyDescent="0.25"/>
    <row r="3" spans="1:17" x14ac:dyDescent="0.25">
      <c r="A3" s="8" t="s">
        <v>673</v>
      </c>
      <c r="B3" t="s">
        <v>694</v>
      </c>
      <c r="D3" s="8" t="s">
        <v>8</v>
      </c>
      <c r="E3" t="s">
        <v>694</v>
      </c>
      <c r="G3" s="8" t="s">
        <v>7</v>
      </c>
      <c r="H3" t="s">
        <v>694</v>
      </c>
      <c r="J3" s="8" t="s">
        <v>4</v>
      </c>
      <c r="K3" t="s">
        <v>694</v>
      </c>
      <c r="M3" s="8" t="s">
        <v>674</v>
      </c>
      <c r="N3" t="s">
        <v>694</v>
      </c>
    </row>
    <row r="4" spans="1:17" x14ac:dyDescent="0.25">
      <c r="A4" s="9" t="s">
        <v>681</v>
      </c>
      <c r="B4" s="6">
        <v>150600</v>
      </c>
      <c r="D4" s="9" t="s">
        <v>39</v>
      </c>
      <c r="E4" s="6">
        <v>253350</v>
      </c>
      <c r="G4" s="9" t="s">
        <v>137</v>
      </c>
      <c r="H4" s="6">
        <v>163900</v>
      </c>
      <c r="J4" s="9" t="s">
        <v>24</v>
      </c>
      <c r="K4" s="6">
        <v>994700</v>
      </c>
      <c r="M4" s="9" t="s">
        <v>695</v>
      </c>
      <c r="N4" s="6">
        <v>298750</v>
      </c>
      <c r="P4" s="9"/>
      <c r="Q4" s="6"/>
    </row>
    <row r="5" spans="1:17" x14ac:dyDescent="0.25">
      <c r="A5" s="9" t="s">
        <v>682</v>
      </c>
      <c r="B5" s="6">
        <v>161250</v>
      </c>
      <c r="D5" s="9" t="s">
        <v>65</v>
      </c>
      <c r="E5" s="6">
        <v>207700</v>
      </c>
      <c r="G5" s="9" t="s">
        <v>49</v>
      </c>
      <c r="H5" s="6">
        <v>383300</v>
      </c>
      <c r="J5" s="9" t="s">
        <v>16</v>
      </c>
      <c r="K5" s="6">
        <v>1032350</v>
      </c>
      <c r="M5" s="9" t="s">
        <v>696</v>
      </c>
      <c r="N5" s="6">
        <v>583500</v>
      </c>
      <c r="P5" s="9"/>
      <c r="Q5" s="6"/>
    </row>
    <row r="6" spans="1:17" x14ac:dyDescent="0.25">
      <c r="A6" s="9" t="s">
        <v>683</v>
      </c>
      <c r="B6" s="6">
        <v>175250</v>
      </c>
      <c r="D6" s="9" t="s">
        <v>19</v>
      </c>
      <c r="E6" s="6">
        <v>661200</v>
      </c>
      <c r="G6" s="9" t="s">
        <v>26</v>
      </c>
      <c r="H6" s="6">
        <v>432500</v>
      </c>
      <c r="J6" s="9" t="s">
        <v>693</v>
      </c>
      <c r="K6" s="6">
        <v>2027050</v>
      </c>
      <c r="M6" s="9" t="s">
        <v>697</v>
      </c>
      <c r="N6" s="6">
        <v>592650</v>
      </c>
      <c r="P6" s="9"/>
      <c r="Q6" s="6"/>
    </row>
    <row r="7" spans="1:17" ht="15.75" x14ac:dyDescent="0.25">
      <c r="A7" s="9" t="s">
        <v>684</v>
      </c>
      <c r="B7" s="6">
        <v>146250</v>
      </c>
      <c r="D7" s="9" t="s">
        <v>79</v>
      </c>
      <c r="E7" s="6">
        <v>540900</v>
      </c>
      <c r="G7" s="9" t="s">
        <v>18</v>
      </c>
      <c r="H7" s="6">
        <v>663200</v>
      </c>
      <c r="M7" s="9" t="s">
        <v>698</v>
      </c>
      <c r="N7" s="6">
        <v>552150</v>
      </c>
      <c r="P7" s="9"/>
      <c r="Q7" s="4" t="s">
        <v>680</v>
      </c>
    </row>
    <row r="8" spans="1:17" x14ac:dyDescent="0.25">
      <c r="A8" s="9" t="s">
        <v>685</v>
      </c>
      <c r="B8" s="6">
        <v>178050</v>
      </c>
      <c r="D8" s="9" t="s">
        <v>30</v>
      </c>
      <c r="E8" s="6">
        <v>363900</v>
      </c>
      <c r="G8" s="9" t="s">
        <v>44</v>
      </c>
      <c r="H8" s="6">
        <v>182550</v>
      </c>
      <c r="M8" s="9" t="s">
        <v>693</v>
      </c>
      <c r="N8" s="6">
        <v>2027050</v>
      </c>
      <c r="P8" s="9"/>
      <c r="Q8">
        <v>98</v>
      </c>
    </row>
    <row r="9" spans="1:17" x14ac:dyDescent="0.25">
      <c r="A9" s="9" t="s">
        <v>686</v>
      </c>
      <c r="B9" s="6">
        <v>171950</v>
      </c>
      <c r="D9" s="9" t="s">
        <v>693</v>
      </c>
      <c r="E9" s="6">
        <v>2027050</v>
      </c>
      <c r="G9" s="9" t="s">
        <v>64</v>
      </c>
      <c r="H9" s="6">
        <v>201600</v>
      </c>
      <c r="P9" s="9"/>
      <c r="Q9" s="6"/>
    </row>
    <row r="10" spans="1:17" ht="15.75" x14ac:dyDescent="0.25">
      <c r="A10" s="9" t="s">
        <v>687</v>
      </c>
      <c r="B10" s="6">
        <v>161650</v>
      </c>
      <c r="G10" s="9" t="s">
        <v>693</v>
      </c>
      <c r="H10" s="6">
        <v>2027050</v>
      </c>
      <c r="J10" s="8" t="s">
        <v>6</v>
      </c>
      <c r="K10" t="s">
        <v>694</v>
      </c>
      <c r="M10" s="8" t="s">
        <v>2</v>
      </c>
      <c r="N10" t="s">
        <v>699</v>
      </c>
      <c r="O10" s="3" t="s">
        <v>700</v>
      </c>
      <c r="P10" s="9"/>
      <c r="Q10" s="4" t="s">
        <v>701</v>
      </c>
    </row>
    <row r="11" spans="1:17" x14ac:dyDescent="0.25">
      <c r="A11" s="9" t="s">
        <v>688</v>
      </c>
      <c r="B11" s="6">
        <v>189600</v>
      </c>
      <c r="J11" s="9" t="s">
        <v>75</v>
      </c>
      <c r="K11" s="6">
        <v>202250</v>
      </c>
      <c r="M11" s="9" t="s">
        <v>368</v>
      </c>
      <c r="N11" s="6">
        <v>3</v>
      </c>
      <c r="O11" t="str">
        <f>IF(N11=1,"New","Repeat")</f>
        <v>Repeat</v>
      </c>
      <c r="P11" s="9"/>
      <c r="Q11" s="3">
        <f>COUNTIF(O:O,"New")</f>
        <v>3</v>
      </c>
    </row>
    <row r="12" spans="1:17" x14ac:dyDescent="0.25">
      <c r="A12" s="9" t="s">
        <v>689</v>
      </c>
      <c r="B12" s="6">
        <v>140650</v>
      </c>
      <c r="D12" s="8" t="s">
        <v>3</v>
      </c>
      <c r="E12" t="s">
        <v>694</v>
      </c>
      <c r="G12" s="8" t="s">
        <v>9</v>
      </c>
      <c r="H12" t="s">
        <v>694</v>
      </c>
      <c r="J12" s="9" t="s">
        <v>38</v>
      </c>
      <c r="K12" s="6">
        <v>218000</v>
      </c>
      <c r="M12" s="9" t="s">
        <v>230</v>
      </c>
      <c r="N12" s="6">
        <v>3</v>
      </c>
      <c r="O12" t="str">
        <f t="shared" ref="O12:O75" si="0">IF(N12=1,"New","Repeat")</f>
        <v>Repeat</v>
      </c>
      <c r="P12" s="9"/>
    </row>
    <row r="13" spans="1:17" ht="15.75" x14ac:dyDescent="0.25">
      <c r="A13" s="9" t="s">
        <v>690</v>
      </c>
      <c r="B13" s="6">
        <v>160850</v>
      </c>
      <c r="D13" s="9" t="s">
        <v>29</v>
      </c>
      <c r="E13" s="6">
        <v>94150</v>
      </c>
      <c r="G13" s="9" t="s">
        <v>125</v>
      </c>
      <c r="H13" s="6">
        <v>63700</v>
      </c>
      <c r="J13" s="9" t="s">
        <v>137</v>
      </c>
      <c r="K13" s="6">
        <v>163900</v>
      </c>
      <c r="M13" s="9" t="s">
        <v>154</v>
      </c>
      <c r="N13" s="6">
        <v>3</v>
      </c>
      <c r="O13" t="str">
        <f t="shared" si="0"/>
        <v>Repeat</v>
      </c>
      <c r="P13" s="9"/>
      <c r="Q13" s="5" t="s">
        <v>702</v>
      </c>
    </row>
    <row r="14" spans="1:17" x14ac:dyDescent="0.25">
      <c r="A14" s="9" t="s">
        <v>691</v>
      </c>
      <c r="B14" s="6">
        <v>220700</v>
      </c>
      <c r="D14" s="9" t="s">
        <v>118</v>
      </c>
      <c r="E14" s="6">
        <v>133600</v>
      </c>
      <c r="G14" s="9" t="s">
        <v>146</v>
      </c>
      <c r="H14" s="6">
        <v>25800</v>
      </c>
      <c r="J14" s="9" t="s">
        <v>63</v>
      </c>
      <c r="K14" s="6">
        <v>201600</v>
      </c>
      <c r="M14" s="9" t="s">
        <v>271</v>
      </c>
      <c r="N14" s="6">
        <v>4</v>
      </c>
      <c r="O14" t="str">
        <f t="shared" si="0"/>
        <v>Repeat</v>
      </c>
      <c r="P14" s="9"/>
      <c r="Q14">
        <f>COUNTIF(O:O,"Repeat")</f>
        <v>95</v>
      </c>
    </row>
    <row r="15" spans="1:17" x14ac:dyDescent="0.25">
      <c r="A15" s="9" t="s">
        <v>692</v>
      </c>
      <c r="B15" s="6">
        <v>170250</v>
      </c>
      <c r="D15" s="9" t="s">
        <v>56</v>
      </c>
      <c r="E15" s="6">
        <v>101300</v>
      </c>
      <c r="G15" s="9" t="s">
        <v>35</v>
      </c>
      <c r="H15" s="6">
        <v>52500</v>
      </c>
      <c r="J15" s="9" t="s">
        <v>43</v>
      </c>
      <c r="K15" s="6">
        <v>182550</v>
      </c>
      <c r="M15" s="9" t="s">
        <v>190</v>
      </c>
      <c r="N15" s="6">
        <v>3</v>
      </c>
      <c r="O15" t="str">
        <f t="shared" si="0"/>
        <v>Repeat</v>
      </c>
      <c r="P15" s="9"/>
      <c r="Q15" s="6"/>
    </row>
    <row r="16" spans="1:17" ht="15.75" x14ac:dyDescent="0.25">
      <c r="A16" s="9" t="s">
        <v>693</v>
      </c>
      <c r="B16" s="6">
        <v>2027050</v>
      </c>
      <c r="D16" s="9" t="s">
        <v>124</v>
      </c>
      <c r="E16" s="6">
        <v>78450</v>
      </c>
      <c r="G16" s="9" t="s">
        <v>40</v>
      </c>
      <c r="H16" s="6">
        <v>26950</v>
      </c>
      <c r="J16" s="9" t="s">
        <v>34</v>
      </c>
      <c r="K16" s="6">
        <v>245700</v>
      </c>
      <c r="M16" s="9" t="s">
        <v>322</v>
      </c>
      <c r="N16" s="6">
        <v>4</v>
      </c>
      <c r="O16" t="str">
        <f t="shared" si="0"/>
        <v>Repeat</v>
      </c>
      <c r="P16" s="9"/>
      <c r="Q16" s="5" t="s">
        <v>703</v>
      </c>
    </row>
    <row r="17" spans="1:17" x14ac:dyDescent="0.25">
      <c r="D17" s="9" t="s">
        <v>62</v>
      </c>
      <c r="E17" s="6">
        <v>62900</v>
      </c>
      <c r="G17" s="9" t="s">
        <v>45</v>
      </c>
      <c r="H17" s="6">
        <v>130500</v>
      </c>
      <c r="J17" s="9" t="s">
        <v>25</v>
      </c>
      <c r="K17" s="6">
        <v>214500</v>
      </c>
      <c r="M17" s="9" t="s">
        <v>163</v>
      </c>
      <c r="N17" s="6">
        <v>6</v>
      </c>
      <c r="O17" t="str">
        <f t="shared" si="0"/>
        <v>Repeat</v>
      </c>
      <c r="Q17">
        <f>Q14/Q8</f>
        <v>0.96938775510204078</v>
      </c>
    </row>
    <row r="18" spans="1:17" x14ac:dyDescent="0.25">
      <c r="D18" s="9" t="s">
        <v>15</v>
      </c>
      <c r="E18" s="6">
        <v>89800</v>
      </c>
      <c r="G18" s="9" t="s">
        <v>114</v>
      </c>
      <c r="H18" s="6">
        <v>187500</v>
      </c>
      <c r="J18" s="9" t="s">
        <v>70</v>
      </c>
      <c r="K18" s="6">
        <v>201850</v>
      </c>
      <c r="M18" s="9" t="s">
        <v>55</v>
      </c>
      <c r="N18" s="6">
        <v>3</v>
      </c>
      <c r="O18" t="str">
        <f t="shared" si="0"/>
        <v>Repeat</v>
      </c>
    </row>
    <row r="19" spans="1:17" x14ac:dyDescent="0.25">
      <c r="A19" s="9"/>
      <c r="B19" s="6"/>
      <c r="D19" s="9" t="s">
        <v>78</v>
      </c>
      <c r="E19" s="6">
        <v>112700</v>
      </c>
      <c r="G19" s="9" t="s">
        <v>188</v>
      </c>
      <c r="H19" s="6">
        <v>135000</v>
      </c>
      <c r="J19" s="9" t="s">
        <v>17</v>
      </c>
      <c r="K19" s="6">
        <v>215650</v>
      </c>
      <c r="M19" s="9" t="s">
        <v>308</v>
      </c>
      <c r="N19" s="6">
        <v>7</v>
      </c>
      <c r="O19" t="str">
        <f t="shared" si="0"/>
        <v>Repeat</v>
      </c>
    </row>
    <row r="20" spans="1:17" x14ac:dyDescent="0.25">
      <c r="A20" s="9"/>
      <c r="B20" s="6"/>
      <c r="D20" s="9" t="s">
        <v>106</v>
      </c>
      <c r="E20" s="6">
        <v>48100</v>
      </c>
      <c r="G20" s="9" t="s">
        <v>76</v>
      </c>
      <c r="H20" s="6">
        <v>172500</v>
      </c>
      <c r="J20" s="9" t="s">
        <v>48</v>
      </c>
      <c r="K20" s="6">
        <v>181050</v>
      </c>
      <c r="M20" s="9" t="s">
        <v>132</v>
      </c>
      <c r="N20" s="6">
        <v>7</v>
      </c>
      <c r="O20" t="str">
        <f t="shared" si="0"/>
        <v>Repeat</v>
      </c>
    </row>
    <row r="21" spans="1:17" x14ac:dyDescent="0.25">
      <c r="A21" s="9"/>
      <c r="B21" s="6"/>
      <c r="D21" s="9" t="s">
        <v>90</v>
      </c>
      <c r="E21" s="6">
        <v>61050</v>
      </c>
      <c r="G21" s="9" t="s">
        <v>31</v>
      </c>
      <c r="H21" s="6">
        <v>108000</v>
      </c>
      <c r="J21" s="9" t="s">
        <v>693</v>
      </c>
      <c r="K21" s="6">
        <v>2027050</v>
      </c>
      <c r="M21" s="9" t="s">
        <v>207</v>
      </c>
      <c r="N21" s="6">
        <v>4</v>
      </c>
      <c r="O21" t="str">
        <f t="shared" si="0"/>
        <v>Repeat</v>
      </c>
    </row>
    <row r="22" spans="1:17" x14ac:dyDescent="0.25">
      <c r="A22" s="9"/>
      <c r="B22" s="6"/>
      <c r="D22" s="9" t="s">
        <v>69</v>
      </c>
      <c r="E22" s="6">
        <v>104000</v>
      </c>
      <c r="G22" s="9" t="s">
        <v>53</v>
      </c>
      <c r="H22" s="6">
        <v>63200</v>
      </c>
      <c r="M22" s="9" t="s">
        <v>393</v>
      </c>
      <c r="N22" s="6">
        <v>4</v>
      </c>
      <c r="O22" t="str">
        <f t="shared" si="0"/>
        <v>Repeat</v>
      </c>
    </row>
    <row r="23" spans="1:17" x14ac:dyDescent="0.25">
      <c r="A23" s="9"/>
      <c r="B23" s="6"/>
      <c r="D23" s="9" t="s">
        <v>152</v>
      </c>
      <c r="E23" s="6">
        <v>132800</v>
      </c>
      <c r="G23" s="9" t="s">
        <v>94</v>
      </c>
      <c r="H23" s="6">
        <v>55200</v>
      </c>
      <c r="M23" s="9" t="s">
        <v>37</v>
      </c>
      <c r="N23" s="6">
        <v>5</v>
      </c>
      <c r="O23" t="str">
        <f t="shared" si="0"/>
        <v>Repeat</v>
      </c>
    </row>
    <row r="24" spans="1:17" x14ac:dyDescent="0.25">
      <c r="A24" s="9"/>
      <c r="B24" s="6"/>
      <c r="D24" s="9" t="s">
        <v>52</v>
      </c>
      <c r="E24" s="6">
        <v>95100</v>
      </c>
      <c r="G24" s="9" t="s">
        <v>85</v>
      </c>
      <c r="H24" s="6">
        <v>43200</v>
      </c>
      <c r="M24" s="9" t="s">
        <v>92</v>
      </c>
      <c r="N24" s="6">
        <v>8</v>
      </c>
      <c r="O24" t="str">
        <f t="shared" si="0"/>
        <v>Repeat</v>
      </c>
    </row>
    <row r="25" spans="1:17" x14ac:dyDescent="0.25">
      <c r="A25" s="9"/>
      <c r="B25" s="6"/>
      <c r="D25" s="9" t="s">
        <v>97</v>
      </c>
      <c r="E25" s="6">
        <v>104500</v>
      </c>
      <c r="G25" s="9" t="s">
        <v>66</v>
      </c>
      <c r="H25" s="6">
        <v>39000</v>
      </c>
      <c r="M25" s="9" t="s">
        <v>311</v>
      </c>
      <c r="N25" s="6">
        <v>5</v>
      </c>
      <c r="O25" t="str">
        <f t="shared" si="0"/>
        <v>Repeat</v>
      </c>
    </row>
    <row r="26" spans="1:17" x14ac:dyDescent="0.25">
      <c r="A26" s="9"/>
      <c r="B26" s="6"/>
      <c r="D26" s="9" t="s">
        <v>74</v>
      </c>
      <c r="E26" s="6">
        <v>91600</v>
      </c>
      <c r="G26" s="9" t="s">
        <v>60</v>
      </c>
      <c r="H26" s="6">
        <v>108000</v>
      </c>
      <c r="M26" s="9" t="s">
        <v>120</v>
      </c>
      <c r="N26" s="6">
        <v>5</v>
      </c>
      <c r="O26" t="str">
        <f t="shared" si="0"/>
        <v>Repeat</v>
      </c>
    </row>
    <row r="27" spans="1:17" x14ac:dyDescent="0.25">
      <c r="A27" s="9"/>
      <c r="B27" s="6"/>
      <c r="D27" s="9" t="s">
        <v>23</v>
      </c>
      <c r="E27" s="6">
        <v>143300</v>
      </c>
      <c r="G27" s="9" t="s">
        <v>208</v>
      </c>
      <c r="H27" s="6">
        <v>189000</v>
      </c>
      <c r="M27" s="9" t="s">
        <v>331</v>
      </c>
      <c r="N27" s="6">
        <v>2</v>
      </c>
      <c r="O27" t="str">
        <f t="shared" si="0"/>
        <v>Repeat</v>
      </c>
    </row>
    <row r="28" spans="1:17" x14ac:dyDescent="0.25">
      <c r="A28" s="9"/>
      <c r="B28" s="6"/>
      <c r="D28" s="9" t="s">
        <v>113</v>
      </c>
      <c r="E28" s="6">
        <v>198000</v>
      </c>
      <c r="G28" s="9" t="s">
        <v>20</v>
      </c>
      <c r="H28" s="6">
        <v>315000</v>
      </c>
      <c r="M28" s="9" t="s">
        <v>58</v>
      </c>
      <c r="N28" s="6">
        <v>6</v>
      </c>
      <c r="O28" t="str">
        <f t="shared" si="0"/>
        <v>Repeat</v>
      </c>
    </row>
    <row r="29" spans="1:17" x14ac:dyDescent="0.25">
      <c r="A29" s="9"/>
      <c r="B29" s="6"/>
      <c r="D29" s="9" t="s">
        <v>83</v>
      </c>
      <c r="E29" s="6">
        <v>74200</v>
      </c>
      <c r="G29" s="9" t="s">
        <v>121</v>
      </c>
      <c r="H29" s="6">
        <v>79200</v>
      </c>
      <c r="M29" s="9" t="s">
        <v>195</v>
      </c>
      <c r="N29" s="6">
        <v>8</v>
      </c>
      <c r="O29" t="str">
        <f>IF(N29=1,"New","Repeat")</f>
        <v>Repeat</v>
      </c>
    </row>
    <row r="30" spans="1:17" x14ac:dyDescent="0.25">
      <c r="A30" s="9"/>
      <c r="B30" s="6"/>
      <c r="D30" s="9" t="s">
        <v>93</v>
      </c>
      <c r="E30" s="6">
        <v>97100</v>
      </c>
      <c r="G30" s="9" t="s">
        <v>80</v>
      </c>
      <c r="H30" s="6">
        <v>29400</v>
      </c>
      <c r="M30" s="9" t="s">
        <v>108</v>
      </c>
      <c r="N30" s="6">
        <v>3</v>
      </c>
      <c r="O30" t="str">
        <f t="shared" si="0"/>
        <v>Repeat</v>
      </c>
    </row>
    <row r="31" spans="1:17" x14ac:dyDescent="0.25">
      <c r="A31" s="9"/>
      <c r="B31" s="6"/>
      <c r="D31" s="9" t="s">
        <v>59</v>
      </c>
      <c r="E31" s="6">
        <v>168950</v>
      </c>
      <c r="G31" s="9" t="s">
        <v>71</v>
      </c>
      <c r="H31" s="6">
        <v>88200</v>
      </c>
      <c r="M31" s="9" t="s">
        <v>110</v>
      </c>
      <c r="N31" s="6">
        <v>7</v>
      </c>
      <c r="O31" t="str">
        <f t="shared" si="0"/>
        <v>Repeat</v>
      </c>
    </row>
    <row r="32" spans="1:17" x14ac:dyDescent="0.25">
      <c r="A32" s="9"/>
      <c r="B32" s="6"/>
      <c r="D32" s="9" t="s">
        <v>101</v>
      </c>
      <c r="E32" s="6">
        <v>35450</v>
      </c>
      <c r="G32" s="9" t="s">
        <v>175</v>
      </c>
      <c r="H32" s="6">
        <v>115200</v>
      </c>
      <c r="M32" s="9" t="s">
        <v>224</v>
      </c>
      <c r="N32" s="6">
        <v>8</v>
      </c>
      <c r="O32" t="str">
        <f t="shared" si="0"/>
        <v>Repeat</v>
      </c>
    </row>
    <row r="33" spans="1:15" x14ac:dyDescent="0.25">
      <c r="A33" s="9"/>
      <c r="B33" s="6"/>
      <c r="D33" s="9" t="s">
        <v>693</v>
      </c>
      <c r="E33" s="6">
        <v>2027050</v>
      </c>
      <c r="G33" s="9" t="s">
        <v>693</v>
      </c>
      <c r="H33" s="6">
        <v>2027050</v>
      </c>
      <c r="M33" s="9" t="s">
        <v>398</v>
      </c>
      <c r="N33" s="6">
        <v>2</v>
      </c>
      <c r="O33" t="str">
        <f t="shared" si="0"/>
        <v>Repeat</v>
      </c>
    </row>
    <row r="34" spans="1:15" x14ac:dyDescent="0.25">
      <c r="A34" s="9"/>
      <c r="B34" s="6"/>
      <c r="M34" s="9" t="s">
        <v>100</v>
      </c>
      <c r="N34" s="6">
        <v>5</v>
      </c>
      <c r="O34" t="str">
        <f t="shared" si="0"/>
        <v>Repeat</v>
      </c>
    </row>
    <row r="35" spans="1:15" x14ac:dyDescent="0.25">
      <c r="A35" s="8" t="s">
        <v>3</v>
      </c>
      <c r="B35" t="s">
        <v>694</v>
      </c>
      <c r="C35" t="s">
        <v>704</v>
      </c>
      <c r="E35" s="7"/>
      <c r="F35" s="7"/>
      <c r="M35" s="9" t="s">
        <v>33</v>
      </c>
      <c r="N35" s="6">
        <v>6</v>
      </c>
      <c r="O35" t="str">
        <f t="shared" si="0"/>
        <v>Repeat</v>
      </c>
    </row>
    <row r="36" spans="1:15" x14ac:dyDescent="0.25">
      <c r="A36" s="9" t="s">
        <v>113</v>
      </c>
      <c r="B36" s="6">
        <v>198000</v>
      </c>
      <c r="C36" s="6">
        <v>36</v>
      </c>
      <c r="E36" s="9"/>
      <c r="F36" s="6"/>
      <c r="M36" s="9" t="s">
        <v>166</v>
      </c>
      <c r="N36" s="6">
        <v>4</v>
      </c>
      <c r="O36" t="str">
        <f t="shared" si="0"/>
        <v>Repeat</v>
      </c>
    </row>
    <row r="37" spans="1:15" x14ac:dyDescent="0.25">
      <c r="A37" s="9" t="s">
        <v>59</v>
      </c>
      <c r="B37" s="6">
        <v>168950</v>
      </c>
      <c r="C37" s="6">
        <v>35</v>
      </c>
      <c r="E37" s="9"/>
      <c r="F37" s="6"/>
      <c r="M37" s="9" t="s">
        <v>383</v>
      </c>
      <c r="N37" s="6">
        <v>4</v>
      </c>
      <c r="O37" t="str">
        <f t="shared" si="0"/>
        <v>Repeat</v>
      </c>
    </row>
    <row r="38" spans="1:15" x14ac:dyDescent="0.25">
      <c r="A38" s="9" t="s">
        <v>23</v>
      </c>
      <c r="B38" s="6">
        <v>143300</v>
      </c>
      <c r="C38" s="6">
        <v>30</v>
      </c>
      <c r="E38" s="9"/>
      <c r="F38" s="6"/>
      <c r="M38" s="9" t="s">
        <v>215</v>
      </c>
      <c r="N38" s="6">
        <v>5</v>
      </c>
      <c r="O38" t="str">
        <f t="shared" si="0"/>
        <v>Repeat</v>
      </c>
    </row>
    <row r="39" spans="1:15" x14ac:dyDescent="0.25">
      <c r="A39" s="9" t="s">
        <v>118</v>
      </c>
      <c r="B39" s="6">
        <v>133600</v>
      </c>
      <c r="C39" s="6">
        <v>26</v>
      </c>
      <c r="E39" s="9"/>
      <c r="F39" s="6"/>
      <c r="M39" s="9" t="s">
        <v>435</v>
      </c>
      <c r="N39" s="6">
        <v>1</v>
      </c>
      <c r="O39" t="str">
        <f t="shared" si="0"/>
        <v>New</v>
      </c>
    </row>
    <row r="40" spans="1:15" x14ac:dyDescent="0.25">
      <c r="A40" s="9" t="s">
        <v>152</v>
      </c>
      <c r="B40" s="6">
        <v>132800</v>
      </c>
      <c r="C40" s="6">
        <v>29</v>
      </c>
      <c r="E40" s="9"/>
      <c r="F40" s="6"/>
      <c r="M40" s="9" t="s">
        <v>130</v>
      </c>
      <c r="N40" s="6">
        <v>5</v>
      </c>
      <c r="O40" t="str">
        <f t="shared" si="0"/>
        <v>Repeat</v>
      </c>
    </row>
    <row r="41" spans="1:15" x14ac:dyDescent="0.25">
      <c r="A41" s="9" t="s">
        <v>78</v>
      </c>
      <c r="B41" s="6">
        <v>112700</v>
      </c>
      <c r="C41" s="6">
        <v>40</v>
      </c>
      <c r="E41" s="9"/>
      <c r="F41" s="6"/>
      <c r="M41" s="9" t="s">
        <v>286</v>
      </c>
      <c r="N41" s="6">
        <v>10</v>
      </c>
      <c r="O41" t="str">
        <f>IF(N41=1,"New","Repeat")</f>
        <v>Repeat</v>
      </c>
    </row>
    <row r="42" spans="1:15" x14ac:dyDescent="0.25">
      <c r="A42" s="9" t="s">
        <v>97</v>
      </c>
      <c r="B42" s="6">
        <v>104500</v>
      </c>
      <c r="C42" s="6">
        <v>24</v>
      </c>
      <c r="E42" s="9"/>
      <c r="F42" s="6"/>
      <c r="M42" s="9" t="s">
        <v>192</v>
      </c>
      <c r="N42" s="6">
        <v>4</v>
      </c>
      <c r="O42" t="str">
        <f t="shared" si="0"/>
        <v>Repeat</v>
      </c>
    </row>
    <row r="43" spans="1:15" x14ac:dyDescent="0.25">
      <c r="A43" s="9" t="s">
        <v>69</v>
      </c>
      <c r="B43" s="6">
        <v>104000</v>
      </c>
      <c r="C43" s="6">
        <v>29</v>
      </c>
      <c r="E43" s="9"/>
      <c r="F43" s="6"/>
      <c r="M43" s="9" t="s">
        <v>351</v>
      </c>
      <c r="N43" s="6">
        <v>2</v>
      </c>
      <c r="O43" t="str">
        <f t="shared" si="0"/>
        <v>Repeat</v>
      </c>
    </row>
    <row r="44" spans="1:15" x14ac:dyDescent="0.25">
      <c r="A44" s="9" t="s">
        <v>56</v>
      </c>
      <c r="B44" s="6">
        <v>101300</v>
      </c>
      <c r="C44" s="6">
        <v>24</v>
      </c>
      <c r="E44" s="9"/>
      <c r="F44" s="6"/>
      <c r="M44" s="9" t="s">
        <v>14</v>
      </c>
      <c r="N44" s="6">
        <v>6</v>
      </c>
      <c r="O44" t="str">
        <f t="shared" si="0"/>
        <v>Repeat</v>
      </c>
    </row>
    <row r="45" spans="1:15" x14ac:dyDescent="0.25">
      <c r="A45" s="9" t="s">
        <v>93</v>
      </c>
      <c r="B45" s="6">
        <v>97100</v>
      </c>
      <c r="C45" s="6">
        <v>27</v>
      </c>
      <c r="E45" s="9"/>
      <c r="F45" s="6"/>
      <c r="M45" s="9" t="s">
        <v>178</v>
      </c>
      <c r="N45" s="6">
        <v>3</v>
      </c>
      <c r="O45" t="str">
        <f t="shared" si="0"/>
        <v>Repeat</v>
      </c>
    </row>
    <row r="46" spans="1:15" x14ac:dyDescent="0.25">
      <c r="A46" s="9" t="s">
        <v>693</v>
      </c>
      <c r="B46" s="6">
        <v>1296250</v>
      </c>
      <c r="C46" s="6">
        <v>300</v>
      </c>
      <c r="E46" s="9"/>
      <c r="F46" s="6"/>
      <c r="M46" s="9" t="s">
        <v>168</v>
      </c>
      <c r="N46" s="6">
        <v>3</v>
      </c>
      <c r="O46" t="str">
        <f t="shared" si="0"/>
        <v>Repeat</v>
      </c>
    </row>
    <row r="47" spans="1:15" x14ac:dyDescent="0.25">
      <c r="E47" s="9"/>
      <c r="F47" s="6"/>
      <c r="M47" s="9" t="s">
        <v>82</v>
      </c>
      <c r="N47" s="6">
        <v>11</v>
      </c>
      <c r="O47" t="str">
        <f t="shared" si="0"/>
        <v>Repeat</v>
      </c>
    </row>
    <row r="48" spans="1:15" x14ac:dyDescent="0.25">
      <c r="E48" s="9"/>
      <c r="F48" s="6"/>
      <c r="M48" s="9" t="s">
        <v>145</v>
      </c>
      <c r="N48" s="6">
        <v>6</v>
      </c>
      <c r="O48" t="str">
        <f t="shared" si="0"/>
        <v>Repeat</v>
      </c>
    </row>
    <row r="49" spans="5:15" x14ac:dyDescent="0.25">
      <c r="E49" s="9"/>
      <c r="F49" s="6"/>
      <c r="M49" s="9" t="s">
        <v>87</v>
      </c>
      <c r="N49" s="6">
        <v>6</v>
      </c>
      <c r="O49" t="str">
        <f t="shared" si="0"/>
        <v>Repeat</v>
      </c>
    </row>
    <row r="50" spans="5:15" x14ac:dyDescent="0.25">
      <c r="E50" s="9"/>
      <c r="F50" s="6"/>
      <c r="M50" s="9" t="s">
        <v>366</v>
      </c>
      <c r="N50" s="6">
        <v>4</v>
      </c>
      <c r="O50" t="str">
        <f>IF(N50=1,"New","Repeat")</f>
        <v>Repeat</v>
      </c>
    </row>
    <row r="51" spans="5:15" x14ac:dyDescent="0.25">
      <c r="E51" s="9"/>
      <c r="F51" s="6"/>
      <c r="M51" s="9" t="s">
        <v>257</v>
      </c>
      <c r="N51" s="6">
        <v>7</v>
      </c>
      <c r="O51" t="str">
        <f t="shared" si="0"/>
        <v>Repeat</v>
      </c>
    </row>
    <row r="52" spans="5:15" x14ac:dyDescent="0.25">
      <c r="E52" s="9"/>
      <c r="F52" s="6"/>
      <c r="M52" s="9" t="s">
        <v>455</v>
      </c>
      <c r="N52" s="6">
        <v>5</v>
      </c>
      <c r="O52" t="str">
        <f t="shared" si="0"/>
        <v>Repeat</v>
      </c>
    </row>
    <row r="53" spans="5:15" x14ac:dyDescent="0.25">
      <c r="E53" s="9"/>
      <c r="F53" s="6"/>
      <c r="M53" s="9" t="s">
        <v>51</v>
      </c>
      <c r="N53" s="6">
        <v>6</v>
      </c>
      <c r="O53" t="str">
        <f t="shared" si="0"/>
        <v>Repeat</v>
      </c>
    </row>
    <row r="54" spans="5:15" x14ac:dyDescent="0.25">
      <c r="E54" s="9"/>
      <c r="F54" s="6"/>
      <c r="M54" s="9" t="s">
        <v>103</v>
      </c>
      <c r="N54" s="6">
        <v>9</v>
      </c>
      <c r="O54" t="str">
        <f t="shared" si="0"/>
        <v>Repeat</v>
      </c>
    </row>
    <row r="55" spans="5:15" x14ac:dyDescent="0.25">
      <c r="E55" s="9"/>
      <c r="F55" s="6"/>
      <c r="M55" s="9" t="s">
        <v>669</v>
      </c>
      <c r="N55" s="6">
        <v>1</v>
      </c>
      <c r="O55" t="str">
        <f t="shared" si="0"/>
        <v>New</v>
      </c>
    </row>
    <row r="56" spans="5:15" x14ac:dyDescent="0.25">
      <c r="E56" s="9"/>
      <c r="F56" s="6"/>
      <c r="M56" s="9" t="s">
        <v>451</v>
      </c>
      <c r="N56" s="6">
        <v>4</v>
      </c>
      <c r="O56" t="str">
        <f t="shared" si="0"/>
        <v>Repeat</v>
      </c>
    </row>
    <row r="57" spans="5:15" x14ac:dyDescent="0.25">
      <c r="E57" s="9"/>
      <c r="F57" s="6"/>
      <c r="M57" s="9" t="s">
        <v>123</v>
      </c>
      <c r="N57" s="6">
        <v>4</v>
      </c>
      <c r="O57" t="str">
        <f>IF(N57=1,"New","Repeat")</f>
        <v>Repeat</v>
      </c>
    </row>
    <row r="58" spans="5:15" x14ac:dyDescent="0.25">
      <c r="E58" s="9"/>
      <c r="F58" s="6"/>
      <c r="M58" s="9" t="s">
        <v>73</v>
      </c>
      <c r="N58" s="6">
        <v>4</v>
      </c>
      <c r="O58" t="str">
        <f t="shared" si="0"/>
        <v>Repeat</v>
      </c>
    </row>
    <row r="59" spans="5:15" x14ac:dyDescent="0.25">
      <c r="E59" s="9"/>
      <c r="F59" s="6"/>
      <c r="M59" s="9" t="s">
        <v>180</v>
      </c>
      <c r="N59" s="6">
        <v>8</v>
      </c>
      <c r="O59" t="str">
        <f t="shared" si="0"/>
        <v>Repeat</v>
      </c>
    </row>
    <row r="60" spans="5:15" x14ac:dyDescent="0.25">
      <c r="E60" s="9"/>
      <c r="F60" s="6"/>
      <c r="M60" s="9" t="s">
        <v>184</v>
      </c>
      <c r="N60" s="6">
        <v>4</v>
      </c>
      <c r="O60" t="str">
        <f t="shared" si="0"/>
        <v>Repeat</v>
      </c>
    </row>
    <row r="61" spans="5:15" x14ac:dyDescent="0.25">
      <c r="E61" s="9"/>
      <c r="F61" s="6"/>
      <c r="M61" s="9" t="s">
        <v>160</v>
      </c>
      <c r="N61" s="6">
        <v>6</v>
      </c>
      <c r="O61" t="str">
        <f t="shared" si="0"/>
        <v>Repeat</v>
      </c>
    </row>
    <row r="62" spans="5:15" x14ac:dyDescent="0.25">
      <c r="E62" s="9"/>
      <c r="F62" s="6"/>
      <c r="M62" s="9" t="s">
        <v>218</v>
      </c>
      <c r="N62" s="6">
        <v>8</v>
      </c>
      <c r="O62" t="str">
        <f t="shared" si="0"/>
        <v>Repeat</v>
      </c>
    </row>
    <row r="63" spans="5:15" x14ac:dyDescent="0.25">
      <c r="E63" s="9"/>
      <c r="F63" s="6"/>
      <c r="M63" s="9" t="s">
        <v>545</v>
      </c>
      <c r="N63" s="6">
        <v>1</v>
      </c>
      <c r="O63" t="str">
        <f t="shared" si="0"/>
        <v>New</v>
      </c>
    </row>
    <row r="64" spans="5:15" x14ac:dyDescent="0.25">
      <c r="E64" s="9"/>
      <c r="F64" s="6"/>
      <c r="M64" s="9" t="s">
        <v>255</v>
      </c>
      <c r="N64" s="6">
        <v>5</v>
      </c>
      <c r="O64" t="str">
        <f t="shared" si="0"/>
        <v>Repeat</v>
      </c>
    </row>
    <row r="65" spans="5:15" x14ac:dyDescent="0.25">
      <c r="E65" s="9"/>
      <c r="F65" s="6"/>
      <c r="M65" s="9" t="s">
        <v>156</v>
      </c>
      <c r="N65" s="6">
        <v>6</v>
      </c>
      <c r="O65" t="str">
        <f t="shared" si="0"/>
        <v>Repeat</v>
      </c>
    </row>
    <row r="66" spans="5:15" x14ac:dyDescent="0.25">
      <c r="E66" s="9"/>
      <c r="F66" s="6"/>
      <c r="M66" s="9" t="s">
        <v>89</v>
      </c>
      <c r="N66" s="6">
        <v>8</v>
      </c>
      <c r="O66" t="str">
        <f t="shared" si="0"/>
        <v>Repeat</v>
      </c>
    </row>
    <row r="67" spans="5:15" x14ac:dyDescent="0.25">
      <c r="E67" s="9"/>
      <c r="F67" s="6"/>
      <c r="M67" s="9" t="s">
        <v>47</v>
      </c>
      <c r="N67" s="6">
        <v>2</v>
      </c>
      <c r="O67" t="str">
        <f t="shared" si="0"/>
        <v>Repeat</v>
      </c>
    </row>
    <row r="68" spans="5:15" x14ac:dyDescent="0.25">
      <c r="E68" s="9"/>
      <c r="F68" s="6"/>
      <c r="M68" s="9" t="s">
        <v>136</v>
      </c>
      <c r="N68" s="6">
        <v>4</v>
      </c>
      <c r="O68" t="str">
        <f t="shared" si="0"/>
        <v>Repeat</v>
      </c>
    </row>
    <row r="69" spans="5:15" x14ac:dyDescent="0.25">
      <c r="E69" s="9"/>
      <c r="F69" s="6"/>
      <c r="M69" s="9" t="s">
        <v>150</v>
      </c>
      <c r="N69" s="6">
        <v>5</v>
      </c>
      <c r="O69" t="str">
        <f>IF(N69=1,"New","Repeat")</f>
        <v>Repeat</v>
      </c>
    </row>
    <row r="70" spans="5:15" x14ac:dyDescent="0.25">
      <c r="E70" s="9"/>
      <c r="F70" s="6"/>
      <c r="M70" s="9" t="s">
        <v>199</v>
      </c>
      <c r="N70" s="6">
        <v>5</v>
      </c>
      <c r="O70" t="str">
        <f t="shared" si="0"/>
        <v>Repeat</v>
      </c>
    </row>
    <row r="71" spans="5:15" x14ac:dyDescent="0.25">
      <c r="M71" s="9" t="s">
        <v>446</v>
      </c>
      <c r="N71" s="6">
        <v>4</v>
      </c>
      <c r="O71" t="str">
        <f t="shared" si="0"/>
        <v>Repeat</v>
      </c>
    </row>
    <row r="72" spans="5:15" x14ac:dyDescent="0.25">
      <c r="M72" s="9" t="s">
        <v>294</v>
      </c>
      <c r="N72" s="6">
        <v>4</v>
      </c>
      <c r="O72" t="str">
        <f t="shared" si="0"/>
        <v>Repeat</v>
      </c>
    </row>
    <row r="73" spans="5:15" x14ac:dyDescent="0.25">
      <c r="M73" s="9" t="s">
        <v>232</v>
      </c>
      <c r="N73" s="6">
        <v>5</v>
      </c>
      <c r="O73" t="str">
        <f t="shared" si="0"/>
        <v>Repeat</v>
      </c>
    </row>
    <row r="74" spans="5:15" x14ac:dyDescent="0.25">
      <c r="M74" s="9" t="s">
        <v>319</v>
      </c>
      <c r="N74" s="6">
        <v>6</v>
      </c>
      <c r="O74" t="str">
        <f t="shared" si="0"/>
        <v>Repeat</v>
      </c>
    </row>
    <row r="75" spans="5:15" x14ac:dyDescent="0.25">
      <c r="M75" s="9" t="s">
        <v>443</v>
      </c>
      <c r="N75" s="6">
        <v>2</v>
      </c>
      <c r="O75" t="str">
        <f t="shared" si="0"/>
        <v>Repeat</v>
      </c>
    </row>
    <row r="76" spans="5:15" x14ac:dyDescent="0.25">
      <c r="M76" s="9" t="s">
        <v>290</v>
      </c>
      <c r="N76" s="6">
        <v>3</v>
      </c>
      <c r="O76" t="str">
        <f t="shared" ref="O76:O107" si="1">IF(N76=1,"New","Repeat")</f>
        <v>Repeat</v>
      </c>
    </row>
    <row r="77" spans="5:15" x14ac:dyDescent="0.25">
      <c r="M77" s="9" t="s">
        <v>201</v>
      </c>
      <c r="N77" s="6">
        <v>5</v>
      </c>
      <c r="O77" t="str">
        <f t="shared" si="1"/>
        <v>Repeat</v>
      </c>
    </row>
    <row r="78" spans="5:15" x14ac:dyDescent="0.25">
      <c r="M78" s="9" t="s">
        <v>28</v>
      </c>
      <c r="N78" s="6">
        <v>12</v>
      </c>
      <c r="O78" t="str">
        <f t="shared" si="1"/>
        <v>Repeat</v>
      </c>
    </row>
    <row r="79" spans="5:15" x14ac:dyDescent="0.25">
      <c r="M79" s="9" t="s">
        <v>275</v>
      </c>
      <c r="N79" s="6">
        <v>4</v>
      </c>
      <c r="O79" t="str">
        <f t="shared" si="1"/>
        <v>Repeat</v>
      </c>
    </row>
    <row r="80" spans="5:15" x14ac:dyDescent="0.25">
      <c r="M80" s="9" t="s">
        <v>371</v>
      </c>
      <c r="N80" s="6">
        <v>5</v>
      </c>
      <c r="O80" t="str">
        <f t="shared" si="1"/>
        <v>Repeat</v>
      </c>
    </row>
    <row r="81" spans="13:15" x14ac:dyDescent="0.25">
      <c r="M81" s="9" t="s">
        <v>324</v>
      </c>
      <c r="N81" s="6">
        <v>8</v>
      </c>
      <c r="O81" t="str">
        <f t="shared" si="1"/>
        <v>Repeat</v>
      </c>
    </row>
    <row r="82" spans="13:15" x14ac:dyDescent="0.25">
      <c r="M82" s="9" t="s">
        <v>313</v>
      </c>
      <c r="N82" s="6">
        <v>3</v>
      </c>
      <c r="O82" t="str">
        <f t="shared" si="1"/>
        <v>Repeat</v>
      </c>
    </row>
    <row r="83" spans="13:15" x14ac:dyDescent="0.25">
      <c r="M83" s="9" t="s">
        <v>174</v>
      </c>
      <c r="N83" s="6">
        <v>3</v>
      </c>
      <c r="O83" t="str">
        <f t="shared" si="1"/>
        <v>Repeat</v>
      </c>
    </row>
    <row r="84" spans="13:15" x14ac:dyDescent="0.25">
      <c r="M84" s="9" t="s">
        <v>222</v>
      </c>
      <c r="N84" s="6">
        <v>5</v>
      </c>
      <c r="O84" t="str">
        <f t="shared" si="1"/>
        <v>Repeat</v>
      </c>
    </row>
    <row r="85" spans="13:15" x14ac:dyDescent="0.25">
      <c r="M85" s="9" t="s">
        <v>300</v>
      </c>
      <c r="N85" s="6">
        <v>4</v>
      </c>
      <c r="O85" t="str">
        <f t="shared" si="1"/>
        <v>Repeat</v>
      </c>
    </row>
    <row r="86" spans="13:15" x14ac:dyDescent="0.25">
      <c r="M86" s="9" t="s">
        <v>241</v>
      </c>
      <c r="N86" s="6">
        <v>6</v>
      </c>
      <c r="O86" t="str">
        <f t="shared" si="1"/>
        <v>Repeat</v>
      </c>
    </row>
    <row r="87" spans="13:15" x14ac:dyDescent="0.25">
      <c r="M87" s="9" t="s">
        <v>141</v>
      </c>
      <c r="N87" s="6">
        <v>5</v>
      </c>
      <c r="O87" t="str">
        <f>IF(N87=1,"New","Repeat")</f>
        <v>Repeat</v>
      </c>
    </row>
    <row r="88" spans="13:15" x14ac:dyDescent="0.25">
      <c r="M88" s="9" t="s">
        <v>143</v>
      </c>
      <c r="N88" s="6">
        <v>6</v>
      </c>
      <c r="O88" t="str">
        <f t="shared" si="1"/>
        <v>Repeat</v>
      </c>
    </row>
    <row r="89" spans="13:15" x14ac:dyDescent="0.25">
      <c r="M89" s="9" t="s">
        <v>96</v>
      </c>
      <c r="N89" s="6">
        <v>9</v>
      </c>
      <c r="O89" t="str">
        <f t="shared" si="1"/>
        <v>Repeat</v>
      </c>
    </row>
    <row r="90" spans="13:15" x14ac:dyDescent="0.25">
      <c r="M90" s="9" t="s">
        <v>134</v>
      </c>
      <c r="N90" s="6">
        <v>5</v>
      </c>
      <c r="O90" t="str">
        <f t="shared" si="1"/>
        <v>Repeat</v>
      </c>
    </row>
    <row r="91" spans="13:15" x14ac:dyDescent="0.25">
      <c r="M91" s="9" t="s">
        <v>172</v>
      </c>
      <c r="N91" s="6">
        <v>7</v>
      </c>
      <c r="O91" t="str">
        <f t="shared" si="1"/>
        <v>Repeat</v>
      </c>
    </row>
    <row r="92" spans="13:15" x14ac:dyDescent="0.25">
      <c r="M92" s="9" t="s">
        <v>170</v>
      </c>
      <c r="N92" s="6">
        <v>3</v>
      </c>
      <c r="O92" t="str">
        <f t="shared" si="1"/>
        <v>Repeat</v>
      </c>
    </row>
    <row r="93" spans="13:15" x14ac:dyDescent="0.25">
      <c r="M93" s="9" t="s">
        <v>22</v>
      </c>
      <c r="N93" s="6">
        <v>8</v>
      </c>
      <c r="O93" t="str">
        <f t="shared" si="1"/>
        <v>Repeat</v>
      </c>
    </row>
    <row r="94" spans="13:15" x14ac:dyDescent="0.25">
      <c r="M94" s="9" t="s">
        <v>247</v>
      </c>
      <c r="N94" s="6">
        <v>3</v>
      </c>
      <c r="O94" t="str">
        <f t="shared" si="1"/>
        <v>Repeat</v>
      </c>
    </row>
    <row r="95" spans="13:15" x14ac:dyDescent="0.25">
      <c r="M95" s="9" t="s">
        <v>283</v>
      </c>
      <c r="N95" s="6">
        <v>7</v>
      </c>
      <c r="O95" t="str">
        <f t="shared" si="1"/>
        <v>Repeat</v>
      </c>
    </row>
    <row r="96" spans="13:15" x14ac:dyDescent="0.25">
      <c r="M96" s="9" t="s">
        <v>42</v>
      </c>
      <c r="N96" s="6">
        <v>6</v>
      </c>
      <c r="O96" t="str">
        <f t="shared" si="1"/>
        <v>Repeat</v>
      </c>
    </row>
    <row r="97" spans="13:15" x14ac:dyDescent="0.25">
      <c r="M97" s="9" t="s">
        <v>205</v>
      </c>
      <c r="N97" s="6">
        <v>5</v>
      </c>
      <c r="O97" t="str">
        <f t="shared" si="1"/>
        <v>Repeat</v>
      </c>
    </row>
    <row r="98" spans="13:15" x14ac:dyDescent="0.25">
      <c r="M98" s="9" t="s">
        <v>244</v>
      </c>
      <c r="N98" s="6">
        <v>4</v>
      </c>
      <c r="O98" t="str">
        <f t="shared" si="1"/>
        <v>Repeat</v>
      </c>
    </row>
    <row r="99" spans="13:15" x14ac:dyDescent="0.25">
      <c r="M99" s="9" t="s">
        <v>112</v>
      </c>
      <c r="N99" s="6">
        <v>2</v>
      </c>
      <c r="O99" t="str">
        <f>IF(N99=1,"New","Repeat")</f>
        <v>Repeat</v>
      </c>
    </row>
    <row r="100" spans="13:15" x14ac:dyDescent="0.25">
      <c r="M100" s="9" t="s">
        <v>105</v>
      </c>
      <c r="N100" s="6">
        <v>8</v>
      </c>
      <c r="O100" t="str">
        <f t="shared" si="1"/>
        <v>Repeat</v>
      </c>
    </row>
    <row r="101" spans="13:15" x14ac:dyDescent="0.25">
      <c r="M101" s="9" t="s">
        <v>213</v>
      </c>
      <c r="N101" s="6">
        <v>5</v>
      </c>
      <c r="O101" t="str">
        <f t="shared" si="1"/>
        <v>Repeat</v>
      </c>
    </row>
    <row r="102" spans="13:15" x14ac:dyDescent="0.25">
      <c r="M102" s="9" t="s">
        <v>264</v>
      </c>
      <c r="N102" s="6">
        <v>9</v>
      </c>
      <c r="O102" t="str">
        <f t="shared" si="1"/>
        <v>Repeat</v>
      </c>
    </row>
    <row r="103" spans="13:15" x14ac:dyDescent="0.25">
      <c r="M103" s="9" t="s">
        <v>267</v>
      </c>
      <c r="N103" s="6">
        <v>5</v>
      </c>
      <c r="O103" t="str">
        <f t="shared" si="1"/>
        <v>Repeat</v>
      </c>
    </row>
    <row r="104" spans="13:15" x14ac:dyDescent="0.25">
      <c r="M104" s="9" t="s">
        <v>425</v>
      </c>
      <c r="N104" s="6">
        <v>5</v>
      </c>
      <c r="O104" t="str">
        <f t="shared" si="1"/>
        <v>Repeat</v>
      </c>
    </row>
    <row r="105" spans="13:15" x14ac:dyDescent="0.25">
      <c r="M105" s="9" t="s">
        <v>158</v>
      </c>
      <c r="N105" s="6">
        <v>6</v>
      </c>
      <c r="O105" t="str">
        <f t="shared" si="1"/>
        <v>Repeat</v>
      </c>
    </row>
    <row r="106" spans="13:15" x14ac:dyDescent="0.25">
      <c r="M106" s="9" t="s">
        <v>273</v>
      </c>
      <c r="N106" s="6">
        <v>8</v>
      </c>
      <c r="O106" t="str">
        <f t="shared" si="1"/>
        <v>Repeat</v>
      </c>
    </row>
    <row r="107" spans="13:15" x14ac:dyDescent="0.25">
      <c r="M107" s="9" t="s">
        <v>117</v>
      </c>
      <c r="N107" s="6">
        <v>5</v>
      </c>
      <c r="O107" t="str">
        <f t="shared" si="1"/>
        <v>Repeat</v>
      </c>
    </row>
    <row r="108" spans="13:15" x14ac:dyDescent="0.25">
      <c r="M108" s="9" t="s">
        <v>68</v>
      </c>
      <c r="N108" s="6">
        <v>3</v>
      </c>
      <c r="O108" t="str">
        <f>IF(N108=1,"New","Repeat")</f>
        <v>Repeat</v>
      </c>
    </row>
    <row r="109" spans="13:15" x14ac:dyDescent="0.25">
      <c r="M109" s="9" t="s">
        <v>693</v>
      </c>
      <c r="N109" s="6">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1"/>
  <sheetViews>
    <sheetView topLeftCell="B1" zoomScaleNormal="100" workbookViewId="0">
      <selection activeCell="P19" sqref="P19"/>
    </sheetView>
  </sheetViews>
  <sheetFormatPr defaultRowHeight="15" x14ac:dyDescent="0.25"/>
  <cols>
    <col min="1" max="1" width="10.5703125" customWidth="1"/>
    <col min="2" max="2" width="12.85546875" customWidth="1"/>
    <col min="3" max="3" width="14" customWidth="1"/>
    <col min="4" max="4" width="17.42578125" customWidth="1"/>
    <col min="5" max="5" width="9.85546875" customWidth="1"/>
    <col min="7" max="7" width="11.7109375" bestFit="1" customWidth="1"/>
    <col min="8" max="8" width="12" bestFit="1" customWidth="1"/>
    <col min="9" max="9" width="11.85546875" bestFit="1" customWidth="1"/>
    <col min="10" max="10" width="12.140625" bestFit="1" customWidth="1"/>
    <col min="11" max="11" width="10.85546875" customWidth="1"/>
    <col min="12" max="12" width="11.85546875" customWidth="1"/>
    <col min="15" max="15" width="12.5703125" customWidth="1"/>
    <col min="16" max="16" width="26.140625" bestFit="1" customWidth="1"/>
  </cols>
  <sheetData>
    <row r="1" spans="1:16" ht="15.75" x14ac:dyDescent="0.25">
      <c r="A1" s="1" t="s">
        <v>0</v>
      </c>
      <c r="B1" s="1" t="s">
        <v>1</v>
      </c>
      <c r="C1" s="1" t="s">
        <v>2</v>
      </c>
      <c r="D1" s="1" t="s">
        <v>3</v>
      </c>
      <c r="E1" s="1" t="s">
        <v>4</v>
      </c>
      <c r="F1" s="1" t="s">
        <v>5</v>
      </c>
      <c r="G1" s="1" t="s">
        <v>6</v>
      </c>
      <c r="H1" s="1" t="s">
        <v>7</v>
      </c>
      <c r="I1" s="1" t="s">
        <v>8</v>
      </c>
      <c r="J1" s="1" t="s">
        <v>9</v>
      </c>
      <c r="K1" s="1" t="s">
        <v>10</v>
      </c>
      <c r="L1" s="1" t="s">
        <v>11</v>
      </c>
      <c r="M1" s="1" t="s">
        <v>12</v>
      </c>
      <c r="N1" s="12" t="s">
        <v>673</v>
      </c>
      <c r="O1" s="12" t="s">
        <v>674</v>
      </c>
      <c r="P1" s="4" t="s">
        <v>675</v>
      </c>
    </row>
    <row r="2" spans="1:16" x14ac:dyDescent="0.25">
      <c r="A2" t="s">
        <v>13</v>
      </c>
      <c r="B2" s="2">
        <v>45662</v>
      </c>
      <c r="C2" t="s">
        <v>14</v>
      </c>
      <c r="D2" t="s">
        <v>15</v>
      </c>
      <c r="E2" t="s">
        <v>16</v>
      </c>
      <c r="F2">
        <v>35</v>
      </c>
      <c r="G2" t="s">
        <v>17</v>
      </c>
      <c r="H2" t="s">
        <v>18</v>
      </c>
      <c r="I2" t="s">
        <v>19</v>
      </c>
      <c r="J2" t="s">
        <v>20</v>
      </c>
      <c r="K2">
        <v>3</v>
      </c>
      <c r="L2">
        <v>5000</v>
      </c>
      <c r="M2">
        <v>15000</v>
      </c>
      <c r="N2" t="str">
        <f>TEXT(B2,"mmm")</f>
        <v>Jan</v>
      </c>
      <c r="O2" t="str">
        <f>IF(F2&lt;25,"18-24",IF(F2&lt;35,"25-34",IF(F2&lt;45,"35-44","45+")))</f>
        <v>35-44</v>
      </c>
      <c r="P2">
        <f>SUM(M2:M501)</f>
        <v>2027050</v>
      </c>
    </row>
    <row r="3" spans="1:16" x14ac:dyDescent="0.25">
      <c r="A3" t="s">
        <v>21</v>
      </c>
      <c r="B3" s="2">
        <v>45946</v>
      </c>
      <c r="C3" t="s">
        <v>22</v>
      </c>
      <c r="D3" t="s">
        <v>23</v>
      </c>
      <c r="E3" t="s">
        <v>24</v>
      </c>
      <c r="F3">
        <v>26</v>
      </c>
      <c r="G3" t="s">
        <v>25</v>
      </c>
      <c r="H3" t="s">
        <v>26</v>
      </c>
      <c r="I3" t="s">
        <v>19</v>
      </c>
      <c r="J3" t="s">
        <v>20</v>
      </c>
      <c r="K3">
        <v>5</v>
      </c>
      <c r="L3">
        <v>5000</v>
      </c>
      <c r="M3">
        <v>25000</v>
      </c>
      <c r="N3" t="str">
        <f t="shared" ref="N3:N66" si="0">TEXT(B3,"mmm")</f>
        <v>Oct</v>
      </c>
      <c r="O3" t="str">
        <f>IF(F3&lt;25,"18-24",IF(F3&lt;35,"25-34",IF(F3&lt;45,"35-44","45+")))</f>
        <v>25-34</v>
      </c>
    </row>
    <row r="4" spans="1:16" ht="15.75" x14ac:dyDescent="0.25">
      <c r="A4" t="s">
        <v>27</v>
      </c>
      <c r="B4" s="2">
        <v>45938</v>
      </c>
      <c r="C4" t="s">
        <v>28</v>
      </c>
      <c r="D4" t="s">
        <v>29</v>
      </c>
      <c r="E4" t="s">
        <v>24</v>
      </c>
      <c r="F4">
        <v>29</v>
      </c>
      <c r="G4" t="s">
        <v>17</v>
      </c>
      <c r="H4" t="s">
        <v>18</v>
      </c>
      <c r="I4" t="s">
        <v>30</v>
      </c>
      <c r="J4" t="s">
        <v>31</v>
      </c>
      <c r="K4">
        <v>1</v>
      </c>
      <c r="L4">
        <v>1200</v>
      </c>
      <c r="M4">
        <v>1200</v>
      </c>
      <c r="N4" t="str">
        <f t="shared" si="0"/>
        <v>Oct</v>
      </c>
      <c r="O4" t="str">
        <f t="shared" ref="O4:O67" si="1">IF(F4&lt;25,"18-24",IF(F4&lt;35,"25-34",IF(F4&lt;45,"35-44","45+")))</f>
        <v>25-34</v>
      </c>
      <c r="P4" s="4" t="s">
        <v>676</v>
      </c>
    </row>
    <row r="5" spans="1:16" x14ac:dyDescent="0.25">
      <c r="A5" t="s">
        <v>32</v>
      </c>
      <c r="B5" s="2">
        <v>45871</v>
      </c>
      <c r="C5" t="s">
        <v>33</v>
      </c>
      <c r="D5" t="s">
        <v>15</v>
      </c>
      <c r="E5" t="s">
        <v>16</v>
      </c>
      <c r="F5">
        <v>44</v>
      </c>
      <c r="G5" t="s">
        <v>34</v>
      </c>
      <c r="H5" t="s">
        <v>18</v>
      </c>
      <c r="I5" t="s">
        <v>30</v>
      </c>
      <c r="J5" t="s">
        <v>35</v>
      </c>
      <c r="K5">
        <v>3</v>
      </c>
      <c r="L5">
        <v>700</v>
      </c>
      <c r="M5">
        <v>2100</v>
      </c>
      <c r="N5" t="str">
        <f t="shared" si="0"/>
        <v>Aug</v>
      </c>
      <c r="O5" t="str">
        <f t="shared" si="1"/>
        <v>35-44</v>
      </c>
      <c r="P5">
        <f>COUNTA(A2:A501)</f>
        <v>500</v>
      </c>
    </row>
    <row r="6" spans="1:16" x14ac:dyDescent="0.25">
      <c r="A6" t="s">
        <v>36</v>
      </c>
      <c r="B6" s="2">
        <v>45819</v>
      </c>
      <c r="C6" t="s">
        <v>37</v>
      </c>
      <c r="D6" t="s">
        <v>29</v>
      </c>
      <c r="E6" t="s">
        <v>24</v>
      </c>
      <c r="F6">
        <v>27</v>
      </c>
      <c r="G6" t="s">
        <v>38</v>
      </c>
      <c r="H6" t="s">
        <v>26</v>
      </c>
      <c r="I6" t="s">
        <v>39</v>
      </c>
      <c r="J6" t="s">
        <v>40</v>
      </c>
      <c r="K6">
        <v>5</v>
      </c>
      <c r="L6">
        <v>350</v>
      </c>
      <c r="M6">
        <v>1750</v>
      </c>
      <c r="N6" t="str">
        <f t="shared" si="0"/>
        <v>Jun</v>
      </c>
      <c r="O6" t="str">
        <f t="shared" si="1"/>
        <v>25-34</v>
      </c>
    </row>
    <row r="7" spans="1:16" ht="15.75" x14ac:dyDescent="0.25">
      <c r="A7" t="s">
        <v>41</v>
      </c>
      <c r="B7" s="2">
        <v>45886</v>
      </c>
      <c r="C7" t="s">
        <v>42</v>
      </c>
      <c r="D7" t="s">
        <v>23</v>
      </c>
      <c r="E7" t="s">
        <v>24</v>
      </c>
      <c r="F7">
        <v>47</v>
      </c>
      <c r="G7" t="s">
        <v>43</v>
      </c>
      <c r="H7" t="s">
        <v>44</v>
      </c>
      <c r="I7" t="s">
        <v>19</v>
      </c>
      <c r="J7" t="s">
        <v>45</v>
      </c>
      <c r="K7">
        <v>3</v>
      </c>
      <c r="L7">
        <v>1500</v>
      </c>
      <c r="M7">
        <v>4500</v>
      </c>
      <c r="N7" t="str">
        <f t="shared" si="0"/>
        <v>Aug</v>
      </c>
      <c r="O7" t="str">
        <f t="shared" si="1"/>
        <v>45+</v>
      </c>
      <c r="P7" s="4" t="s">
        <v>680</v>
      </c>
    </row>
    <row r="8" spans="1:16" x14ac:dyDescent="0.25">
      <c r="A8" t="s">
        <v>46</v>
      </c>
      <c r="B8" s="2">
        <v>45883</v>
      </c>
      <c r="C8" t="s">
        <v>47</v>
      </c>
      <c r="D8" t="s">
        <v>15</v>
      </c>
      <c r="E8" t="s">
        <v>16</v>
      </c>
      <c r="F8">
        <v>35</v>
      </c>
      <c r="G8" t="s">
        <v>48</v>
      </c>
      <c r="H8" t="s">
        <v>49</v>
      </c>
      <c r="I8" t="s">
        <v>30</v>
      </c>
      <c r="J8" t="s">
        <v>31</v>
      </c>
      <c r="K8">
        <v>5</v>
      </c>
      <c r="L8">
        <v>1200</v>
      </c>
      <c r="M8">
        <v>6000</v>
      </c>
      <c r="N8" t="str">
        <f t="shared" si="0"/>
        <v>Aug</v>
      </c>
      <c r="O8" t="str">
        <f t="shared" si="1"/>
        <v>35-44</v>
      </c>
      <c r="P8">
        <v>98</v>
      </c>
    </row>
    <row r="9" spans="1:16" x14ac:dyDescent="0.25">
      <c r="A9" t="s">
        <v>50</v>
      </c>
      <c r="B9" s="2">
        <v>45821</v>
      </c>
      <c r="C9" t="s">
        <v>51</v>
      </c>
      <c r="D9" t="s">
        <v>52</v>
      </c>
      <c r="E9" t="s">
        <v>24</v>
      </c>
      <c r="F9">
        <v>52</v>
      </c>
      <c r="G9" t="s">
        <v>25</v>
      </c>
      <c r="H9" t="s">
        <v>26</v>
      </c>
      <c r="I9" t="s">
        <v>39</v>
      </c>
      <c r="J9" t="s">
        <v>53</v>
      </c>
      <c r="K9">
        <v>2</v>
      </c>
      <c r="L9">
        <v>800</v>
      </c>
      <c r="M9">
        <v>1600</v>
      </c>
      <c r="N9" t="str">
        <f t="shared" si="0"/>
        <v>Jun</v>
      </c>
      <c r="O9" t="str">
        <f t="shared" si="1"/>
        <v>45+</v>
      </c>
    </row>
    <row r="10" spans="1:16" ht="15.75" x14ac:dyDescent="0.25">
      <c r="A10" t="s">
        <v>54</v>
      </c>
      <c r="B10" s="2">
        <v>45853</v>
      </c>
      <c r="C10" t="s">
        <v>55</v>
      </c>
      <c r="D10" t="s">
        <v>56</v>
      </c>
      <c r="E10" t="s">
        <v>16</v>
      </c>
      <c r="F10">
        <v>25</v>
      </c>
      <c r="G10" t="s">
        <v>17</v>
      </c>
      <c r="H10" t="s">
        <v>18</v>
      </c>
      <c r="I10" t="s">
        <v>19</v>
      </c>
      <c r="J10" t="s">
        <v>45</v>
      </c>
      <c r="K10">
        <v>1</v>
      </c>
      <c r="L10">
        <v>1500</v>
      </c>
      <c r="M10">
        <v>1500</v>
      </c>
      <c r="N10" t="str">
        <f t="shared" si="0"/>
        <v>Jul</v>
      </c>
      <c r="O10" t="str">
        <f t="shared" si="1"/>
        <v>25-34</v>
      </c>
      <c r="P10" s="5" t="s">
        <v>678</v>
      </c>
    </row>
    <row r="11" spans="1:16" x14ac:dyDescent="0.25">
      <c r="A11" t="s">
        <v>57</v>
      </c>
      <c r="B11" s="2">
        <v>45984</v>
      </c>
      <c r="C11" t="s">
        <v>58</v>
      </c>
      <c r="D11" t="s">
        <v>59</v>
      </c>
      <c r="E11" t="s">
        <v>24</v>
      </c>
      <c r="F11">
        <v>43</v>
      </c>
      <c r="G11" t="s">
        <v>48</v>
      </c>
      <c r="H11" t="s">
        <v>49</v>
      </c>
      <c r="I11" t="s">
        <v>39</v>
      </c>
      <c r="J11" t="s">
        <v>60</v>
      </c>
      <c r="K11">
        <v>2</v>
      </c>
      <c r="L11">
        <v>1500</v>
      </c>
      <c r="M11">
        <v>3000</v>
      </c>
      <c r="N11" t="str">
        <f t="shared" si="0"/>
        <v>Nov</v>
      </c>
      <c r="O11" t="str">
        <f t="shared" si="1"/>
        <v>35-44</v>
      </c>
      <c r="P11">
        <f>P2/P5</f>
        <v>4054.1</v>
      </c>
    </row>
    <row r="12" spans="1:16" x14ac:dyDescent="0.25">
      <c r="A12" t="s">
        <v>61</v>
      </c>
      <c r="B12" s="2">
        <v>45710</v>
      </c>
      <c r="C12" t="s">
        <v>14</v>
      </c>
      <c r="D12" t="s">
        <v>62</v>
      </c>
      <c r="E12" t="s">
        <v>16</v>
      </c>
      <c r="F12">
        <v>23</v>
      </c>
      <c r="G12" t="s">
        <v>63</v>
      </c>
      <c r="H12" t="s">
        <v>64</v>
      </c>
      <c r="I12" t="s">
        <v>65</v>
      </c>
      <c r="J12" t="s">
        <v>66</v>
      </c>
      <c r="K12">
        <v>4</v>
      </c>
      <c r="L12">
        <v>500</v>
      </c>
      <c r="M12">
        <v>2000</v>
      </c>
      <c r="N12" t="str">
        <f t="shared" si="0"/>
        <v>Feb</v>
      </c>
      <c r="O12" t="str">
        <f t="shared" si="1"/>
        <v>18-24</v>
      </c>
    </row>
    <row r="13" spans="1:16" ht="15.75" x14ac:dyDescent="0.25">
      <c r="A13" t="s">
        <v>67</v>
      </c>
      <c r="B13" s="2">
        <v>45948</v>
      </c>
      <c r="C13" t="s">
        <v>68</v>
      </c>
      <c r="D13" t="s">
        <v>69</v>
      </c>
      <c r="E13" t="s">
        <v>24</v>
      </c>
      <c r="F13">
        <v>27</v>
      </c>
      <c r="G13" t="s">
        <v>70</v>
      </c>
      <c r="H13" t="s">
        <v>18</v>
      </c>
      <c r="I13" t="s">
        <v>30</v>
      </c>
      <c r="J13" t="s">
        <v>71</v>
      </c>
      <c r="K13">
        <v>3</v>
      </c>
      <c r="L13">
        <v>900</v>
      </c>
      <c r="M13">
        <v>2700</v>
      </c>
      <c r="N13" t="str">
        <f t="shared" si="0"/>
        <v>Oct</v>
      </c>
      <c r="O13" t="str">
        <f t="shared" si="1"/>
        <v>25-34</v>
      </c>
      <c r="P13" s="5" t="s">
        <v>677</v>
      </c>
    </row>
    <row r="14" spans="1:16" x14ac:dyDescent="0.25">
      <c r="A14" t="s">
        <v>72</v>
      </c>
      <c r="B14" s="2">
        <v>45720</v>
      </c>
      <c r="C14" t="s">
        <v>73</v>
      </c>
      <c r="D14" t="s">
        <v>74</v>
      </c>
      <c r="E14" t="s">
        <v>16</v>
      </c>
      <c r="F14">
        <v>33</v>
      </c>
      <c r="G14" t="s">
        <v>75</v>
      </c>
      <c r="H14" t="s">
        <v>49</v>
      </c>
      <c r="I14" t="s">
        <v>19</v>
      </c>
      <c r="J14" t="s">
        <v>76</v>
      </c>
      <c r="K14">
        <v>4</v>
      </c>
      <c r="L14">
        <v>2500</v>
      </c>
      <c r="M14">
        <v>10000</v>
      </c>
      <c r="N14" t="str">
        <f t="shared" si="0"/>
        <v>Mar</v>
      </c>
      <c r="O14" t="str">
        <f t="shared" si="1"/>
        <v>25-34</v>
      </c>
      <c r="P14">
        <f>P2/P8</f>
        <v>20684.183673469386</v>
      </c>
    </row>
    <row r="15" spans="1:16" x14ac:dyDescent="0.25">
      <c r="A15" t="s">
        <v>77</v>
      </c>
      <c r="B15" s="2">
        <v>46004</v>
      </c>
      <c r="C15" t="s">
        <v>28</v>
      </c>
      <c r="D15" t="s">
        <v>78</v>
      </c>
      <c r="E15" t="s">
        <v>16</v>
      </c>
      <c r="F15">
        <v>34</v>
      </c>
      <c r="G15" t="s">
        <v>43</v>
      </c>
      <c r="H15" t="s">
        <v>44</v>
      </c>
      <c r="I15" t="s">
        <v>79</v>
      </c>
      <c r="J15" t="s">
        <v>80</v>
      </c>
      <c r="K15">
        <v>3</v>
      </c>
      <c r="L15">
        <v>600</v>
      </c>
      <c r="M15">
        <v>1800</v>
      </c>
      <c r="N15" t="str">
        <f t="shared" si="0"/>
        <v>Dec</v>
      </c>
      <c r="O15" t="str">
        <f t="shared" si="1"/>
        <v>25-34</v>
      </c>
    </row>
    <row r="16" spans="1:16" x14ac:dyDescent="0.25">
      <c r="A16" t="s">
        <v>81</v>
      </c>
      <c r="B16" s="2">
        <v>45738</v>
      </c>
      <c r="C16" t="s">
        <v>82</v>
      </c>
      <c r="D16" t="s">
        <v>83</v>
      </c>
      <c r="E16" t="s">
        <v>16</v>
      </c>
      <c r="F16">
        <v>50</v>
      </c>
      <c r="G16" t="s">
        <v>48</v>
      </c>
      <c r="H16" t="s">
        <v>49</v>
      </c>
      <c r="I16" t="s">
        <v>65</v>
      </c>
      <c r="J16" t="s">
        <v>66</v>
      </c>
      <c r="K16">
        <v>4</v>
      </c>
      <c r="L16">
        <v>500</v>
      </c>
      <c r="M16">
        <v>2000</v>
      </c>
      <c r="N16" t="str">
        <f t="shared" si="0"/>
        <v>Mar</v>
      </c>
      <c r="O16" t="str">
        <f t="shared" si="1"/>
        <v>45+</v>
      </c>
      <c r="P16" t="s">
        <v>679</v>
      </c>
    </row>
    <row r="17" spans="1:16" x14ac:dyDescent="0.25">
      <c r="A17" t="s">
        <v>84</v>
      </c>
      <c r="B17" s="2">
        <v>45777</v>
      </c>
      <c r="C17" t="s">
        <v>58</v>
      </c>
      <c r="D17" t="s">
        <v>59</v>
      </c>
      <c r="E17" t="s">
        <v>24</v>
      </c>
      <c r="F17">
        <v>18</v>
      </c>
      <c r="G17" t="s">
        <v>34</v>
      </c>
      <c r="H17" t="s">
        <v>18</v>
      </c>
      <c r="I17" t="s">
        <v>19</v>
      </c>
      <c r="J17" t="s">
        <v>85</v>
      </c>
      <c r="K17">
        <v>5</v>
      </c>
      <c r="L17">
        <v>800</v>
      </c>
      <c r="M17">
        <v>4000</v>
      </c>
      <c r="N17" t="str">
        <f t="shared" si="0"/>
        <v>Apr</v>
      </c>
      <c r="O17" t="str">
        <f t="shared" si="1"/>
        <v>18-24</v>
      </c>
      <c r="P17" s="6">
        <v>500</v>
      </c>
    </row>
    <row r="18" spans="1:16" x14ac:dyDescent="0.25">
      <c r="A18" t="s">
        <v>86</v>
      </c>
      <c r="B18" s="2">
        <v>45719</v>
      </c>
      <c r="C18" t="s">
        <v>87</v>
      </c>
      <c r="D18" t="s">
        <v>52</v>
      </c>
      <c r="E18" t="s">
        <v>24</v>
      </c>
      <c r="F18">
        <v>32</v>
      </c>
      <c r="G18" t="s">
        <v>38</v>
      </c>
      <c r="H18" t="s">
        <v>26</v>
      </c>
      <c r="I18" t="s">
        <v>19</v>
      </c>
      <c r="J18" t="s">
        <v>20</v>
      </c>
      <c r="K18">
        <v>4</v>
      </c>
      <c r="L18">
        <v>5000</v>
      </c>
      <c r="M18">
        <v>20000</v>
      </c>
      <c r="N18" t="str">
        <f t="shared" si="0"/>
        <v>Mar</v>
      </c>
      <c r="O18" t="str">
        <f t="shared" si="1"/>
        <v>25-34</v>
      </c>
    </row>
    <row r="19" spans="1:16" ht="15.75" x14ac:dyDescent="0.25">
      <c r="A19" t="s">
        <v>88</v>
      </c>
      <c r="B19" s="2">
        <v>45749</v>
      </c>
      <c r="C19" t="s">
        <v>89</v>
      </c>
      <c r="D19" t="s">
        <v>90</v>
      </c>
      <c r="E19" t="s">
        <v>24</v>
      </c>
      <c r="F19">
        <v>42</v>
      </c>
      <c r="G19" t="s">
        <v>48</v>
      </c>
      <c r="H19" t="s">
        <v>49</v>
      </c>
      <c r="I19" t="s">
        <v>39</v>
      </c>
      <c r="J19" t="s">
        <v>40</v>
      </c>
      <c r="K19">
        <v>2</v>
      </c>
      <c r="L19">
        <v>350</v>
      </c>
      <c r="M19">
        <v>700</v>
      </c>
      <c r="N19" t="str">
        <f t="shared" si="0"/>
        <v>Apr</v>
      </c>
      <c r="O19" t="str">
        <f t="shared" si="1"/>
        <v>35-44</v>
      </c>
      <c r="P19" s="4"/>
    </row>
    <row r="20" spans="1:16" x14ac:dyDescent="0.25">
      <c r="A20" t="s">
        <v>91</v>
      </c>
      <c r="B20" s="2">
        <v>45788</v>
      </c>
      <c r="C20" t="s">
        <v>92</v>
      </c>
      <c r="D20" t="s">
        <v>93</v>
      </c>
      <c r="E20" t="s">
        <v>24</v>
      </c>
      <c r="F20">
        <v>36</v>
      </c>
      <c r="G20" t="s">
        <v>34</v>
      </c>
      <c r="H20" t="s">
        <v>18</v>
      </c>
      <c r="I20" t="s">
        <v>39</v>
      </c>
      <c r="J20" t="s">
        <v>94</v>
      </c>
      <c r="K20">
        <v>3</v>
      </c>
      <c r="L20">
        <v>600</v>
      </c>
      <c r="M20">
        <v>1800</v>
      </c>
      <c r="N20" t="str">
        <f t="shared" si="0"/>
        <v>May</v>
      </c>
      <c r="O20" t="str">
        <f t="shared" si="1"/>
        <v>35-44</v>
      </c>
      <c r="P20" s="3"/>
    </row>
    <row r="21" spans="1:16" x14ac:dyDescent="0.25">
      <c r="A21" t="s">
        <v>95</v>
      </c>
      <c r="B21" s="2">
        <v>45739</v>
      </c>
      <c r="C21" t="s">
        <v>96</v>
      </c>
      <c r="D21" t="s">
        <v>97</v>
      </c>
      <c r="E21" t="s">
        <v>24</v>
      </c>
      <c r="F21">
        <v>37</v>
      </c>
      <c r="G21" t="s">
        <v>48</v>
      </c>
      <c r="H21" t="s">
        <v>49</v>
      </c>
      <c r="I21" t="s">
        <v>39</v>
      </c>
      <c r="J21" t="s">
        <v>60</v>
      </c>
      <c r="K21">
        <v>4</v>
      </c>
      <c r="L21">
        <v>1500</v>
      </c>
      <c r="M21">
        <v>6000</v>
      </c>
      <c r="N21" t="str">
        <f t="shared" si="0"/>
        <v>Mar</v>
      </c>
      <c r="O21" t="str">
        <f t="shared" si="1"/>
        <v>35-44</v>
      </c>
    </row>
    <row r="22" spans="1:16" ht="15.75" x14ac:dyDescent="0.25">
      <c r="A22" t="s">
        <v>98</v>
      </c>
      <c r="B22" s="2">
        <v>45737</v>
      </c>
      <c r="C22" t="s">
        <v>96</v>
      </c>
      <c r="D22" t="s">
        <v>15</v>
      </c>
      <c r="E22" t="s">
        <v>16</v>
      </c>
      <c r="F22">
        <v>44</v>
      </c>
      <c r="G22" t="s">
        <v>48</v>
      </c>
      <c r="H22" t="s">
        <v>49</v>
      </c>
      <c r="I22" t="s">
        <v>39</v>
      </c>
      <c r="J22" t="s">
        <v>53</v>
      </c>
      <c r="K22">
        <v>5</v>
      </c>
      <c r="L22">
        <v>800</v>
      </c>
      <c r="M22">
        <v>4000</v>
      </c>
      <c r="N22" t="str">
        <f t="shared" si="0"/>
        <v>Mar</v>
      </c>
      <c r="O22" t="str">
        <f t="shared" si="1"/>
        <v>35-44</v>
      </c>
      <c r="P22" s="5"/>
    </row>
    <row r="23" spans="1:16" x14ac:dyDescent="0.25">
      <c r="A23" t="s">
        <v>99</v>
      </c>
      <c r="B23" s="2">
        <v>45941</v>
      </c>
      <c r="C23" t="s">
        <v>100</v>
      </c>
      <c r="D23" t="s">
        <v>101</v>
      </c>
      <c r="E23" t="s">
        <v>16</v>
      </c>
      <c r="F23">
        <v>42</v>
      </c>
      <c r="G23" t="s">
        <v>25</v>
      </c>
      <c r="H23" t="s">
        <v>26</v>
      </c>
      <c r="I23" t="s">
        <v>30</v>
      </c>
      <c r="J23" t="s">
        <v>31</v>
      </c>
      <c r="K23">
        <v>4</v>
      </c>
      <c r="L23">
        <v>1200</v>
      </c>
      <c r="M23">
        <v>4800</v>
      </c>
      <c r="N23" t="str">
        <f t="shared" si="0"/>
        <v>Oct</v>
      </c>
      <c r="O23" t="str">
        <f t="shared" si="1"/>
        <v>35-44</v>
      </c>
    </row>
    <row r="24" spans="1:16" x14ac:dyDescent="0.25">
      <c r="A24" t="s">
        <v>102</v>
      </c>
      <c r="B24" s="2">
        <v>45787</v>
      </c>
      <c r="C24" t="s">
        <v>103</v>
      </c>
      <c r="D24" t="s">
        <v>59</v>
      </c>
      <c r="E24" t="s">
        <v>24</v>
      </c>
      <c r="F24">
        <v>19</v>
      </c>
      <c r="G24" t="s">
        <v>17</v>
      </c>
      <c r="H24" t="s">
        <v>18</v>
      </c>
      <c r="I24" t="s">
        <v>30</v>
      </c>
      <c r="J24" t="s">
        <v>71</v>
      </c>
      <c r="K24">
        <v>1</v>
      </c>
      <c r="L24">
        <v>900</v>
      </c>
      <c r="M24">
        <v>900</v>
      </c>
      <c r="N24" t="str">
        <f t="shared" si="0"/>
        <v>May</v>
      </c>
      <c r="O24" t="str">
        <f t="shared" si="1"/>
        <v>18-24</v>
      </c>
    </row>
    <row r="25" spans="1:16" x14ac:dyDescent="0.25">
      <c r="A25" t="s">
        <v>104</v>
      </c>
      <c r="B25" s="2">
        <v>45993</v>
      </c>
      <c r="C25" t="s">
        <v>105</v>
      </c>
      <c r="D25" t="s">
        <v>106</v>
      </c>
      <c r="E25" t="s">
        <v>24</v>
      </c>
      <c r="F25">
        <v>39</v>
      </c>
      <c r="G25" t="s">
        <v>63</v>
      </c>
      <c r="H25" t="s">
        <v>64</v>
      </c>
      <c r="I25" t="s">
        <v>39</v>
      </c>
      <c r="J25" t="s">
        <v>40</v>
      </c>
      <c r="K25">
        <v>2</v>
      </c>
      <c r="L25">
        <v>350</v>
      </c>
      <c r="M25">
        <v>700</v>
      </c>
      <c r="N25" t="str">
        <f t="shared" si="0"/>
        <v>Dec</v>
      </c>
      <c r="O25" t="str">
        <f t="shared" si="1"/>
        <v>35-44</v>
      </c>
    </row>
    <row r="26" spans="1:16" x14ac:dyDescent="0.25">
      <c r="A26" t="s">
        <v>107</v>
      </c>
      <c r="B26" s="2">
        <v>45888</v>
      </c>
      <c r="C26" t="s">
        <v>108</v>
      </c>
      <c r="D26" t="s">
        <v>62</v>
      </c>
      <c r="E26" t="s">
        <v>16</v>
      </c>
      <c r="F26">
        <v>45</v>
      </c>
      <c r="G26" t="s">
        <v>63</v>
      </c>
      <c r="H26" t="s">
        <v>64</v>
      </c>
      <c r="I26" t="s">
        <v>39</v>
      </c>
      <c r="J26" t="s">
        <v>40</v>
      </c>
      <c r="K26">
        <v>2</v>
      </c>
      <c r="L26">
        <v>350</v>
      </c>
      <c r="M26">
        <v>700</v>
      </c>
      <c r="N26" t="str">
        <f t="shared" si="0"/>
        <v>Aug</v>
      </c>
      <c r="O26" t="str">
        <f t="shared" si="1"/>
        <v>45+</v>
      </c>
    </row>
    <row r="27" spans="1:16" x14ac:dyDescent="0.25">
      <c r="A27" t="s">
        <v>109</v>
      </c>
      <c r="B27" s="2">
        <v>46004</v>
      </c>
      <c r="C27" t="s">
        <v>110</v>
      </c>
      <c r="D27" t="s">
        <v>56</v>
      </c>
      <c r="E27" t="s">
        <v>16</v>
      </c>
      <c r="F27">
        <v>23</v>
      </c>
      <c r="G27" t="s">
        <v>75</v>
      </c>
      <c r="H27" t="s">
        <v>49</v>
      </c>
      <c r="I27" t="s">
        <v>19</v>
      </c>
      <c r="J27" t="s">
        <v>45</v>
      </c>
      <c r="K27">
        <v>5</v>
      </c>
      <c r="L27">
        <v>1500</v>
      </c>
      <c r="M27">
        <v>7500</v>
      </c>
      <c r="N27" t="str">
        <f t="shared" si="0"/>
        <v>Dec</v>
      </c>
      <c r="O27" t="str">
        <f t="shared" si="1"/>
        <v>18-24</v>
      </c>
    </row>
    <row r="28" spans="1:16" x14ac:dyDescent="0.25">
      <c r="A28" t="s">
        <v>111</v>
      </c>
      <c r="B28" s="2">
        <v>45707</v>
      </c>
      <c r="C28" t="s">
        <v>112</v>
      </c>
      <c r="D28" t="s">
        <v>113</v>
      </c>
      <c r="E28" t="s">
        <v>16</v>
      </c>
      <c r="F28">
        <v>52</v>
      </c>
      <c r="G28" t="s">
        <v>17</v>
      </c>
      <c r="H28" t="s">
        <v>18</v>
      </c>
      <c r="I28" t="s">
        <v>79</v>
      </c>
      <c r="J28" t="s">
        <v>114</v>
      </c>
      <c r="K28">
        <v>3</v>
      </c>
      <c r="L28">
        <v>2500</v>
      </c>
      <c r="M28">
        <v>7500</v>
      </c>
      <c r="N28" t="str">
        <f t="shared" si="0"/>
        <v>Feb</v>
      </c>
      <c r="O28" t="str">
        <f t="shared" si="1"/>
        <v>45+</v>
      </c>
    </row>
    <row r="29" spans="1:16" x14ac:dyDescent="0.25">
      <c r="A29" t="s">
        <v>115</v>
      </c>
      <c r="B29" s="2">
        <v>45741</v>
      </c>
      <c r="C29" t="s">
        <v>14</v>
      </c>
      <c r="D29" t="s">
        <v>93</v>
      </c>
      <c r="E29" t="s">
        <v>24</v>
      </c>
      <c r="F29">
        <v>24</v>
      </c>
      <c r="G29" t="s">
        <v>34</v>
      </c>
      <c r="H29" t="s">
        <v>18</v>
      </c>
      <c r="I29" t="s">
        <v>39</v>
      </c>
      <c r="J29" t="s">
        <v>94</v>
      </c>
      <c r="K29">
        <v>4</v>
      </c>
      <c r="L29">
        <v>600</v>
      </c>
      <c r="M29">
        <v>2400</v>
      </c>
      <c r="N29" t="str">
        <f t="shared" si="0"/>
        <v>Mar</v>
      </c>
      <c r="O29" t="str">
        <f t="shared" si="1"/>
        <v>18-24</v>
      </c>
    </row>
    <row r="30" spans="1:16" x14ac:dyDescent="0.25">
      <c r="A30" t="s">
        <v>116</v>
      </c>
      <c r="B30" s="2">
        <v>45828</v>
      </c>
      <c r="C30" t="s">
        <v>117</v>
      </c>
      <c r="D30" t="s">
        <v>118</v>
      </c>
      <c r="E30" t="s">
        <v>16</v>
      </c>
      <c r="F30">
        <v>29</v>
      </c>
      <c r="G30" t="s">
        <v>43</v>
      </c>
      <c r="H30" t="s">
        <v>44</v>
      </c>
      <c r="I30" t="s">
        <v>39</v>
      </c>
      <c r="J30" t="s">
        <v>94</v>
      </c>
      <c r="K30">
        <v>4</v>
      </c>
      <c r="L30">
        <v>600</v>
      </c>
      <c r="M30">
        <v>2400</v>
      </c>
      <c r="N30" t="str">
        <f t="shared" si="0"/>
        <v>Jun</v>
      </c>
      <c r="O30" t="str">
        <f t="shared" si="1"/>
        <v>25-34</v>
      </c>
    </row>
    <row r="31" spans="1:16" x14ac:dyDescent="0.25">
      <c r="A31" t="s">
        <v>119</v>
      </c>
      <c r="B31" s="2">
        <v>45683</v>
      </c>
      <c r="C31" t="s">
        <v>120</v>
      </c>
      <c r="D31" t="s">
        <v>78</v>
      </c>
      <c r="E31" t="s">
        <v>16</v>
      </c>
      <c r="F31">
        <v>47</v>
      </c>
      <c r="G31" t="s">
        <v>63</v>
      </c>
      <c r="H31" t="s">
        <v>64</v>
      </c>
      <c r="I31" t="s">
        <v>65</v>
      </c>
      <c r="J31" t="s">
        <v>121</v>
      </c>
      <c r="K31">
        <v>1</v>
      </c>
      <c r="L31">
        <v>900</v>
      </c>
      <c r="M31">
        <v>900</v>
      </c>
      <c r="N31" t="str">
        <f t="shared" si="0"/>
        <v>Jan</v>
      </c>
      <c r="O31" t="str">
        <f t="shared" si="1"/>
        <v>45+</v>
      </c>
    </row>
    <row r="32" spans="1:16" x14ac:dyDescent="0.25">
      <c r="A32" t="s">
        <v>122</v>
      </c>
      <c r="B32" s="2">
        <v>45749</v>
      </c>
      <c r="C32" t="s">
        <v>123</v>
      </c>
      <c r="D32" t="s">
        <v>124</v>
      </c>
      <c r="E32" t="s">
        <v>24</v>
      </c>
      <c r="F32">
        <v>28</v>
      </c>
      <c r="G32" t="s">
        <v>70</v>
      </c>
      <c r="H32" t="s">
        <v>18</v>
      </c>
      <c r="I32" t="s">
        <v>65</v>
      </c>
      <c r="J32" t="s">
        <v>125</v>
      </c>
      <c r="K32">
        <v>2</v>
      </c>
      <c r="L32">
        <v>700</v>
      </c>
      <c r="M32">
        <v>1400</v>
      </c>
      <c r="N32" t="str">
        <f t="shared" si="0"/>
        <v>Apr</v>
      </c>
      <c r="O32" t="str">
        <f t="shared" si="1"/>
        <v>25-34</v>
      </c>
    </row>
    <row r="33" spans="1:15" x14ac:dyDescent="0.25">
      <c r="A33" t="s">
        <v>126</v>
      </c>
      <c r="B33" s="2">
        <v>46021</v>
      </c>
      <c r="C33" t="s">
        <v>105</v>
      </c>
      <c r="D33" t="s">
        <v>124</v>
      </c>
      <c r="E33" t="s">
        <v>24</v>
      </c>
      <c r="F33">
        <v>52</v>
      </c>
      <c r="G33" t="s">
        <v>38</v>
      </c>
      <c r="H33" t="s">
        <v>26</v>
      </c>
      <c r="I33" t="s">
        <v>65</v>
      </c>
      <c r="J33" t="s">
        <v>121</v>
      </c>
      <c r="K33">
        <v>5</v>
      </c>
      <c r="L33">
        <v>900</v>
      </c>
      <c r="M33">
        <v>4500</v>
      </c>
      <c r="N33" t="str">
        <f t="shared" si="0"/>
        <v>Dec</v>
      </c>
      <c r="O33" t="str">
        <f t="shared" si="1"/>
        <v>45+</v>
      </c>
    </row>
    <row r="34" spans="1:15" x14ac:dyDescent="0.25">
      <c r="A34" t="s">
        <v>127</v>
      </c>
      <c r="B34" s="2">
        <v>45968</v>
      </c>
      <c r="C34" t="s">
        <v>123</v>
      </c>
      <c r="D34" t="s">
        <v>62</v>
      </c>
      <c r="E34" t="s">
        <v>16</v>
      </c>
      <c r="F34">
        <v>55</v>
      </c>
      <c r="G34" t="s">
        <v>48</v>
      </c>
      <c r="H34" t="s">
        <v>49</v>
      </c>
      <c r="I34" t="s">
        <v>65</v>
      </c>
      <c r="J34" t="s">
        <v>66</v>
      </c>
      <c r="K34">
        <v>4</v>
      </c>
      <c r="L34">
        <v>500</v>
      </c>
      <c r="M34">
        <v>2000</v>
      </c>
      <c r="N34" t="str">
        <f t="shared" si="0"/>
        <v>Nov</v>
      </c>
      <c r="O34" t="str">
        <f t="shared" si="1"/>
        <v>45+</v>
      </c>
    </row>
    <row r="35" spans="1:15" x14ac:dyDescent="0.25">
      <c r="A35" t="s">
        <v>128</v>
      </c>
      <c r="B35" s="2">
        <v>45976</v>
      </c>
      <c r="C35" t="s">
        <v>110</v>
      </c>
      <c r="D35" t="s">
        <v>29</v>
      </c>
      <c r="E35" t="s">
        <v>24</v>
      </c>
      <c r="F35">
        <v>39</v>
      </c>
      <c r="G35" t="s">
        <v>48</v>
      </c>
      <c r="H35" t="s">
        <v>49</v>
      </c>
      <c r="I35" t="s">
        <v>39</v>
      </c>
      <c r="J35" t="s">
        <v>53</v>
      </c>
      <c r="K35">
        <v>2</v>
      </c>
      <c r="L35">
        <v>800</v>
      </c>
      <c r="M35">
        <v>1600</v>
      </c>
      <c r="N35" t="str">
        <f t="shared" si="0"/>
        <v>Nov</v>
      </c>
      <c r="O35" t="str">
        <f t="shared" si="1"/>
        <v>35-44</v>
      </c>
    </row>
    <row r="36" spans="1:15" x14ac:dyDescent="0.25">
      <c r="A36" t="s">
        <v>129</v>
      </c>
      <c r="B36" s="2">
        <v>45694</v>
      </c>
      <c r="C36" t="s">
        <v>130</v>
      </c>
      <c r="D36" t="s">
        <v>97</v>
      </c>
      <c r="E36" t="s">
        <v>24</v>
      </c>
      <c r="F36">
        <v>48</v>
      </c>
      <c r="G36" t="s">
        <v>34</v>
      </c>
      <c r="H36" t="s">
        <v>18</v>
      </c>
      <c r="I36" t="s">
        <v>19</v>
      </c>
      <c r="J36" t="s">
        <v>76</v>
      </c>
      <c r="K36">
        <v>3</v>
      </c>
      <c r="L36">
        <v>2500</v>
      </c>
      <c r="M36">
        <v>7500</v>
      </c>
      <c r="N36" t="str">
        <f t="shared" si="0"/>
        <v>Feb</v>
      </c>
      <c r="O36" t="str">
        <f t="shared" si="1"/>
        <v>45+</v>
      </c>
    </row>
    <row r="37" spans="1:15" x14ac:dyDescent="0.25">
      <c r="A37" t="s">
        <v>131</v>
      </c>
      <c r="B37" s="2">
        <v>45748</v>
      </c>
      <c r="C37" t="s">
        <v>132</v>
      </c>
      <c r="D37" t="s">
        <v>23</v>
      </c>
      <c r="E37" t="s">
        <v>24</v>
      </c>
      <c r="F37">
        <v>28</v>
      </c>
      <c r="G37" t="s">
        <v>34</v>
      </c>
      <c r="H37" t="s">
        <v>18</v>
      </c>
      <c r="I37" t="s">
        <v>39</v>
      </c>
      <c r="J37" t="s">
        <v>40</v>
      </c>
      <c r="K37">
        <v>4</v>
      </c>
      <c r="L37">
        <v>350</v>
      </c>
      <c r="M37">
        <v>1400</v>
      </c>
      <c r="N37" t="str">
        <f t="shared" si="0"/>
        <v>Apr</v>
      </c>
      <c r="O37" t="str">
        <f t="shared" si="1"/>
        <v>25-34</v>
      </c>
    </row>
    <row r="38" spans="1:15" x14ac:dyDescent="0.25">
      <c r="A38" t="s">
        <v>133</v>
      </c>
      <c r="B38" s="2">
        <v>45758</v>
      </c>
      <c r="C38" t="s">
        <v>134</v>
      </c>
      <c r="D38" t="s">
        <v>74</v>
      </c>
      <c r="E38" t="s">
        <v>16</v>
      </c>
      <c r="F38">
        <v>19</v>
      </c>
      <c r="G38" t="s">
        <v>48</v>
      </c>
      <c r="H38" t="s">
        <v>49</v>
      </c>
      <c r="I38" t="s">
        <v>30</v>
      </c>
      <c r="J38" t="s">
        <v>71</v>
      </c>
      <c r="K38">
        <v>3</v>
      </c>
      <c r="L38">
        <v>900</v>
      </c>
      <c r="M38">
        <v>2700</v>
      </c>
      <c r="N38" t="str">
        <f t="shared" si="0"/>
        <v>Apr</v>
      </c>
      <c r="O38" t="str">
        <f t="shared" si="1"/>
        <v>18-24</v>
      </c>
    </row>
    <row r="39" spans="1:15" x14ac:dyDescent="0.25">
      <c r="A39" t="s">
        <v>135</v>
      </c>
      <c r="B39" s="2">
        <v>45764</v>
      </c>
      <c r="C39" t="s">
        <v>136</v>
      </c>
      <c r="D39" t="s">
        <v>29</v>
      </c>
      <c r="E39" t="s">
        <v>24</v>
      </c>
      <c r="F39">
        <v>23</v>
      </c>
      <c r="G39" t="s">
        <v>137</v>
      </c>
      <c r="H39" t="s">
        <v>137</v>
      </c>
      <c r="I39" t="s">
        <v>30</v>
      </c>
      <c r="J39" t="s">
        <v>31</v>
      </c>
      <c r="K39">
        <v>4</v>
      </c>
      <c r="L39">
        <v>1200</v>
      </c>
      <c r="M39">
        <v>4800</v>
      </c>
      <c r="N39" t="str">
        <f t="shared" si="0"/>
        <v>Apr</v>
      </c>
      <c r="O39" t="str">
        <f t="shared" si="1"/>
        <v>18-24</v>
      </c>
    </row>
    <row r="40" spans="1:15" x14ac:dyDescent="0.25">
      <c r="A40" t="s">
        <v>138</v>
      </c>
      <c r="B40" s="2">
        <v>45977</v>
      </c>
      <c r="C40" t="s">
        <v>28</v>
      </c>
      <c r="D40" t="s">
        <v>106</v>
      </c>
      <c r="E40" t="s">
        <v>24</v>
      </c>
      <c r="F40">
        <v>50</v>
      </c>
      <c r="G40" t="s">
        <v>17</v>
      </c>
      <c r="H40" t="s">
        <v>18</v>
      </c>
      <c r="I40" t="s">
        <v>19</v>
      </c>
      <c r="J40" t="s">
        <v>85</v>
      </c>
      <c r="K40">
        <v>3</v>
      </c>
      <c r="L40">
        <v>800</v>
      </c>
      <c r="M40">
        <v>2400</v>
      </c>
      <c r="N40" t="str">
        <f t="shared" si="0"/>
        <v>Nov</v>
      </c>
      <c r="O40" t="str">
        <f t="shared" si="1"/>
        <v>45+</v>
      </c>
    </row>
    <row r="41" spans="1:15" x14ac:dyDescent="0.25">
      <c r="A41" t="s">
        <v>139</v>
      </c>
      <c r="B41" s="2">
        <v>45770</v>
      </c>
      <c r="C41" t="s">
        <v>117</v>
      </c>
      <c r="D41" t="s">
        <v>78</v>
      </c>
      <c r="E41" t="s">
        <v>16</v>
      </c>
      <c r="F41">
        <v>41</v>
      </c>
      <c r="G41" t="s">
        <v>137</v>
      </c>
      <c r="H41" t="s">
        <v>137</v>
      </c>
      <c r="I41" t="s">
        <v>79</v>
      </c>
      <c r="J41" t="s">
        <v>80</v>
      </c>
      <c r="K41">
        <v>2</v>
      </c>
      <c r="L41">
        <v>600</v>
      </c>
      <c r="M41">
        <v>1200</v>
      </c>
      <c r="N41" t="str">
        <f t="shared" si="0"/>
        <v>Apr</v>
      </c>
      <c r="O41" t="str">
        <f t="shared" si="1"/>
        <v>35-44</v>
      </c>
    </row>
    <row r="42" spans="1:15" x14ac:dyDescent="0.25">
      <c r="A42" t="s">
        <v>140</v>
      </c>
      <c r="B42" s="2">
        <v>46018</v>
      </c>
      <c r="C42" t="s">
        <v>141</v>
      </c>
      <c r="D42" t="s">
        <v>93</v>
      </c>
      <c r="E42" t="s">
        <v>24</v>
      </c>
      <c r="F42">
        <v>46</v>
      </c>
      <c r="G42" t="s">
        <v>70</v>
      </c>
      <c r="H42" t="s">
        <v>18</v>
      </c>
      <c r="I42" t="s">
        <v>39</v>
      </c>
      <c r="J42" t="s">
        <v>60</v>
      </c>
      <c r="K42">
        <v>5</v>
      </c>
      <c r="L42">
        <v>1500</v>
      </c>
      <c r="M42">
        <v>7500</v>
      </c>
      <c r="N42" t="str">
        <f t="shared" si="0"/>
        <v>Dec</v>
      </c>
      <c r="O42" t="str">
        <f t="shared" si="1"/>
        <v>45+</v>
      </c>
    </row>
    <row r="43" spans="1:15" x14ac:dyDescent="0.25">
      <c r="A43" t="s">
        <v>142</v>
      </c>
      <c r="B43" s="2">
        <v>45877</v>
      </c>
      <c r="C43" t="s">
        <v>143</v>
      </c>
      <c r="D43" t="s">
        <v>113</v>
      </c>
      <c r="E43" t="s">
        <v>16</v>
      </c>
      <c r="F43">
        <v>26</v>
      </c>
      <c r="G43" t="s">
        <v>34</v>
      </c>
      <c r="H43" t="s">
        <v>18</v>
      </c>
      <c r="I43" t="s">
        <v>79</v>
      </c>
      <c r="J43" t="s">
        <v>114</v>
      </c>
      <c r="K43">
        <v>5</v>
      </c>
      <c r="L43">
        <v>2500</v>
      </c>
      <c r="M43">
        <v>12500</v>
      </c>
      <c r="N43" t="str">
        <f t="shared" si="0"/>
        <v>Aug</v>
      </c>
      <c r="O43" t="str">
        <f t="shared" si="1"/>
        <v>25-34</v>
      </c>
    </row>
    <row r="44" spans="1:15" x14ac:dyDescent="0.25">
      <c r="A44" t="s">
        <v>144</v>
      </c>
      <c r="B44" s="2">
        <v>46017</v>
      </c>
      <c r="C44" t="s">
        <v>145</v>
      </c>
      <c r="D44" t="s">
        <v>93</v>
      </c>
      <c r="E44" t="s">
        <v>24</v>
      </c>
      <c r="F44">
        <v>21</v>
      </c>
      <c r="G44" t="s">
        <v>63</v>
      </c>
      <c r="H44" t="s">
        <v>64</v>
      </c>
      <c r="I44" t="s">
        <v>65</v>
      </c>
      <c r="J44" t="s">
        <v>146</v>
      </c>
      <c r="K44">
        <v>2</v>
      </c>
      <c r="L44">
        <v>300</v>
      </c>
      <c r="M44">
        <v>600</v>
      </c>
      <c r="N44" t="str">
        <f t="shared" si="0"/>
        <v>Dec</v>
      </c>
      <c r="O44" t="str">
        <f t="shared" si="1"/>
        <v>18-24</v>
      </c>
    </row>
    <row r="45" spans="1:15" x14ac:dyDescent="0.25">
      <c r="A45" t="s">
        <v>147</v>
      </c>
      <c r="B45" s="2">
        <v>45813</v>
      </c>
      <c r="C45" t="s">
        <v>28</v>
      </c>
      <c r="D45" t="s">
        <v>78</v>
      </c>
      <c r="E45" t="s">
        <v>16</v>
      </c>
      <c r="F45">
        <v>23</v>
      </c>
      <c r="G45" t="s">
        <v>75</v>
      </c>
      <c r="H45" t="s">
        <v>49</v>
      </c>
      <c r="I45" t="s">
        <v>65</v>
      </c>
      <c r="J45" t="s">
        <v>66</v>
      </c>
      <c r="K45">
        <v>3</v>
      </c>
      <c r="L45">
        <v>500</v>
      </c>
      <c r="M45">
        <v>1500</v>
      </c>
      <c r="N45" t="str">
        <f t="shared" si="0"/>
        <v>Jun</v>
      </c>
      <c r="O45" t="str">
        <f t="shared" si="1"/>
        <v>18-24</v>
      </c>
    </row>
    <row r="46" spans="1:15" x14ac:dyDescent="0.25">
      <c r="A46" t="s">
        <v>148</v>
      </c>
      <c r="B46" s="2">
        <v>45892</v>
      </c>
      <c r="C46" t="s">
        <v>89</v>
      </c>
      <c r="D46" t="s">
        <v>101</v>
      </c>
      <c r="E46" t="s">
        <v>16</v>
      </c>
      <c r="F46">
        <v>38</v>
      </c>
      <c r="G46" t="s">
        <v>43</v>
      </c>
      <c r="H46" t="s">
        <v>44</v>
      </c>
      <c r="I46" t="s">
        <v>65</v>
      </c>
      <c r="J46" t="s">
        <v>121</v>
      </c>
      <c r="K46">
        <v>3</v>
      </c>
      <c r="L46">
        <v>900</v>
      </c>
      <c r="M46">
        <v>2700</v>
      </c>
      <c r="N46" t="str">
        <f t="shared" si="0"/>
        <v>Aug</v>
      </c>
      <c r="O46" t="str">
        <f t="shared" si="1"/>
        <v>35-44</v>
      </c>
    </row>
    <row r="47" spans="1:15" x14ac:dyDescent="0.25">
      <c r="A47" t="s">
        <v>149</v>
      </c>
      <c r="B47" s="2">
        <v>45812</v>
      </c>
      <c r="C47" t="s">
        <v>150</v>
      </c>
      <c r="D47" t="s">
        <v>113</v>
      </c>
      <c r="E47" t="s">
        <v>16</v>
      </c>
      <c r="F47">
        <v>32</v>
      </c>
      <c r="G47" t="s">
        <v>137</v>
      </c>
      <c r="H47" t="s">
        <v>137</v>
      </c>
      <c r="I47" t="s">
        <v>30</v>
      </c>
      <c r="J47" t="s">
        <v>31</v>
      </c>
      <c r="K47">
        <v>3</v>
      </c>
      <c r="L47">
        <v>1200</v>
      </c>
      <c r="M47">
        <v>3600</v>
      </c>
      <c r="N47" t="str">
        <f t="shared" si="0"/>
        <v>Jun</v>
      </c>
      <c r="O47" t="str">
        <f t="shared" si="1"/>
        <v>25-34</v>
      </c>
    </row>
    <row r="48" spans="1:15" x14ac:dyDescent="0.25">
      <c r="A48" t="s">
        <v>151</v>
      </c>
      <c r="B48" s="2">
        <v>45778</v>
      </c>
      <c r="C48" t="s">
        <v>68</v>
      </c>
      <c r="D48" t="s">
        <v>152</v>
      </c>
      <c r="E48" t="s">
        <v>16</v>
      </c>
      <c r="F48">
        <v>29</v>
      </c>
      <c r="G48" t="s">
        <v>17</v>
      </c>
      <c r="H48" t="s">
        <v>18</v>
      </c>
      <c r="I48" t="s">
        <v>65</v>
      </c>
      <c r="J48" t="s">
        <v>121</v>
      </c>
      <c r="K48">
        <v>1</v>
      </c>
      <c r="L48">
        <v>900</v>
      </c>
      <c r="M48">
        <v>900</v>
      </c>
      <c r="N48" t="str">
        <f t="shared" si="0"/>
        <v>May</v>
      </c>
      <c r="O48" t="str">
        <f t="shared" si="1"/>
        <v>25-34</v>
      </c>
    </row>
    <row r="49" spans="1:15" x14ac:dyDescent="0.25">
      <c r="A49" t="s">
        <v>153</v>
      </c>
      <c r="B49" s="2">
        <v>45800</v>
      </c>
      <c r="C49" t="s">
        <v>154</v>
      </c>
      <c r="D49" t="s">
        <v>93</v>
      </c>
      <c r="E49" t="s">
        <v>24</v>
      </c>
      <c r="F49">
        <v>22</v>
      </c>
      <c r="G49" t="s">
        <v>17</v>
      </c>
      <c r="H49" t="s">
        <v>18</v>
      </c>
      <c r="I49" t="s">
        <v>39</v>
      </c>
      <c r="J49" t="s">
        <v>53</v>
      </c>
      <c r="K49">
        <v>3</v>
      </c>
      <c r="L49">
        <v>800</v>
      </c>
      <c r="M49">
        <v>2400</v>
      </c>
      <c r="N49" t="str">
        <f t="shared" si="0"/>
        <v>May</v>
      </c>
      <c r="O49" t="str">
        <f t="shared" si="1"/>
        <v>18-24</v>
      </c>
    </row>
    <row r="50" spans="1:15" x14ac:dyDescent="0.25">
      <c r="A50" t="s">
        <v>155</v>
      </c>
      <c r="B50" s="2">
        <v>45980</v>
      </c>
      <c r="C50" t="s">
        <v>156</v>
      </c>
      <c r="D50" t="s">
        <v>23</v>
      </c>
      <c r="E50" t="s">
        <v>24</v>
      </c>
      <c r="F50">
        <v>33</v>
      </c>
      <c r="G50" t="s">
        <v>48</v>
      </c>
      <c r="H50" t="s">
        <v>49</v>
      </c>
      <c r="I50" t="s">
        <v>65</v>
      </c>
      <c r="J50" t="s">
        <v>146</v>
      </c>
      <c r="K50">
        <v>5</v>
      </c>
      <c r="L50">
        <v>300</v>
      </c>
      <c r="M50">
        <v>1500</v>
      </c>
      <c r="N50" t="str">
        <f t="shared" si="0"/>
        <v>Nov</v>
      </c>
      <c r="O50" t="str">
        <f t="shared" si="1"/>
        <v>25-34</v>
      </c>
    </row>
    <row r="51" spans="1:15" x14ac:dyDescent="0.25">
      <c r="A51" t="s">
        <v>157</v>
      </c>
      <c r="B51" s="2">
        <v>45816</v>
      </c>
      <c r="C51" t="s">
        <v>158</v>
      </c>
      <c r="D51" t="s">
        <v>29</v>
      </c>
      <c r="E51" t="s">
        <v>24</v>
      </c>
      <c r="F51">
        <v>23</v>
      </c>
      <c r="G51" t="s">
        <v>70</v>
      </c>
      <c r="H51" t="s">
        <v>18</v>
      </c>
      <c r="I51" t="s">
        <v>19</v>
      </c>
      <c r="J51" t="s">
        <v>45</v>
      </c>
      <c r="K51">
        <v>4</v>
      </c>
      <c r="L51">
        <v>1500</v>
      </c>
      <c r="M51">
        <v>6000</v>
      </c>
      <c r="N51" t="str">
        <f t="shared" si="0"/>
        <v>Jun</v>
      </c>
      <c r="O51" t="str">
        <f t="shared" si="1"/>
        <v>18-24</v>
      </c>
    </row>
    <row r="52" spans="1:15" x14ac:dyDescent="0.25">
      <c r="A52" t="s">
        <v>159</v>
      </c>
      <c r="B52" s="2">
        <v>45901</v>
      </c>
      <c r="C52" t="s">
        <v>160</v>
      </c>
      <c r="D52" t="s">
        <v>124</v>
      </c>
      <c r="E52" t="s">
        <v>24</v>
      </c>
      <c r="F52">
        <v>34</v>
      </c>
      <c r="G52" t="s">
        <v>137</v>
      </c>
      <c r="H52" t="s">
        <v>137</v>
      </c>
      <c r="I52" t="s">
        <v>30</v>
      </c>
      <c r="J52" t="s">
        <v>35</v>
      </c>
      <c r="K52">
        <v>1</v>
      </c>
      <c r="L52">
        <v>700</v>
      </c>
      <c r="M52">
        <v>700</v>
      </c>
      <c r="N52" t="str">
        <f t="shared" si="0"/>
        <v>Sep</v>
      </c>
      <c r="O52" t="str">
        <f t="shared" si="1"/>
        <v>25-34</v>
      </c>
    </row>
    <row r="53" spans="1:15" x14ac:dyDescent="0.25">
      <c r="A53" t="s">
        <v>161</v>
      </c>
      <c r="B53" s="2">
        <v>45669</v>
      </c>
      <c r="C53" t="s">
        <v>28</v>
      </c>
      <c r="D53" t="s">
        <v>93</v>
      </c>
      <c r="E53" t="s">
        <v>24</v>
      </c>
      <c r="F53">
        <v>23</v>
      </c>
      <c r="G53" t="s">
        <v>38</v>
      </c>
      <c r="H53" t="s">
        <v>26</v>
      </c>
      <c r="I53" t="s">
        <v>65</v>
      </c>
      <c r="J53" t="s">
        <v>146</v>
      </c>
      <c r="K53">
        <v>4</v>
      </c>
      <c r="L53">
        <v>300</v>
      </c>
      <c r="M53">
        <v>1200</v>
      </c>
      <c r="N53" t="str">
        <f t="shared" si="0"/>
        <v>Jan</v>
      </c>
      <c r="O53" t="str">
        <f t="shared" si="1"/>
        <v>18-24</v>
      </c>
    </row>
    <row r="54" spans="1:15" x14ac:dyDescent="0.25">
      <c r="A54" t="s">
        <v>162</v>
      </c>
      <c r="B54" s="2">
        <v>45669</v>
      </c>
      <c r="C54" t="s">
        <v>163</v>
      </c>
      <c r="D54" t="s">
        <v>52</v>
      </c>
      <c r="E54" t="s">
        <v>24</v>
      </c>
      <c r="F54">
        <v>25</v>
      </c>
      <c r="G54" t="s">
        <v>17</v>
      </c>
      <c r="H54" t="s">
        <v>18</v>
      </c>
      <c r="I54" t="s">
        <v>65</v>
      </c>
      <c r="J54" t="s">
        <v>146</v>
      </c>
      <c r="K54">
        <v>3</v>
      </c>
      <c r="L54">
        <v>300</v>
      </c>
      <c r="M54">
        <v>900</v>
      </c>
      <c r="N54" t="str">
        <f t="shared" si="0"/>
        <v>Jan</v>
      </c>
      <c r="O54" t="str">
        <f t="shared" si="1"/>
        <v>25-34</v>
      </c>
    </row>
    <row r="55" spans="1:15" x14ac:dyDescent="0.25">
      <c r="A55" t="s">
        <v>164</v>
      </c>
      <c r="B55" s="2">
        <v>45813</v>
      </c>
      <c r="C55" t="s">
        <v>134</v>
      </c>
      <c r="D55" t="s">
        <v>23</v>
      </c>
      <c r="E55" t="s">
        <v>24</v>
      </c>
      <c r="F55">
        <v>25</v>
      </c>
      <c r="G55" t="s">
        <v>25</v>
      </c>
      <c r="H55" t="s">
        <v>26</v>
      </c>
      <c r="I55" t="s">
        <v>19</v>
      </c>
      <c r="J55" t="s">
        <v>20</v>
      </c>
      <c r="K55">
        <v>3</v>
      </c>
      <c r="L55">
        <v>5000</v>
      </c>
      <c r="M55">
        <v>15000</v>
      </c>
      <c r="N55" t="str">
        <f t="shared" si="0"/>
        <v>Jun</v>
      </c>
      <c r="O55" t="str">
        <f t="shared" si="1"/>
        <v>25-34</v>
      </c>
    </row>
    <row r="56" spans="1:15" x14ac:dyDescent="0.25">
      <c r="A56" t="s">
        <v>165</v>
      </c>
      <c r="B56" s="2">
        <v>45681</v>
      </c>
      <c r="C56" t="s">
        <v>166</v>
      </c>
      <c r="D56" t="s">
        <v>106</v>
      </c>
      <c r="E56" t="s">
        <v>24</v>
      </c>
      <c r="F56">
        <v>53</v>
      </c>
      <c r="G56" t="s">
        <v>17</v>
      </c>
      <c r="H56" t="s">
        <v>18</v>
      </c>
      <c r="I56" t="s">
        <v>30</v>
      </c>
      <c r="J56" t="s">
        <v>35</v>
      </c>
      <c r="K56">
        <v>3</v>
      </c>
      <c r="L56">
        <v>700</v>
      </c>
      <c r="M56">
        <v>2100</v>
      </c>
      <c r="N56" t="str">
        <f t="shared" si="0"/>
        <v>Jan</v>
      </c>
      <c r="O56" t="str">
        <f t="shared" si="1"/>
        <v>45+</v>
      </c>
    </row>
    <row r="57" spans="1:15" x14ac:dyDescent="0.25">
      <c r="A57" t="s">
        <v>167</v>
      </c>
      <c r="B57" s="2">
        <v>45977</v>
      </c>
      <c r="C57" t="s">
        <v>168</v>
      </c>
      <c r="D57" t="s">
        <v>97</v>
      </c>
      <c r="E57" t="s">
        <v>24</v>
      </c>
      <c r="F57">
        <v>25</v>
      </c>
      <c r="G57" t="s">
        <v>34</v>
      </c>
      <c r="H57" t="s">
        <v>18</v>
      </c>
      <c r="I57" t="s">
        <v>39</v>
      </c>
      <c r="J57" t="s">
        <v>40</v>
      </c>
      <c r="K57">
        <v>1</v>
      </c>
      <c r="L57">
        <v>350</v>
      </c>
      <c r="M57">
        <v>350</v>
      </c>
      <c r="N57" t="str">
        <f t="shared" si="0"/>
        <v>Nov</v>
      </c>
      <c r="O57" t="str">
        <f t="shared" si="1"/>
        <v>25-34</v>
      </c>
    </row>
    <row r="58" spans="1:15" x14ac:dyDescent="0.25">
      <c r="A58" t="s">
        <v>169</v>
      </c>
      <c r="B58" s="2">
        <v>45829</v>
      </c>
      <c r="C58" t="s">
        <v>170</v>
      </c>
      <c r="D58" t="s">
        <v>83</v>
      </c>
      <c r="E58" t="s">
        <v>16</v>
      </c>
      <c r="F58">
        <v>49</v>
      </c>
      <c r="G58" t="s">
        <v>48</v>
      </c>
      <c r="H58" t="s">
        <v>49</v>
      </c>
      <c r="I58" t="s">
        <v>65</v>
      </c>
      <c r="J58" t="s">
        <v>125</v>
      </c>
      <c r="K58">
        <v>4</v>
      </c>
      <c r="L58">
        <v>700</v>
      </c>
      <c r="M58">
        <v>2800</v>
      </c>
      <c r="N58" t="str">
        <f t="shared" si="0"/>
        <v>Jun</v>
      </c>
      <c r="O58" t="str">
        <f t="shared" si="1"/>
        <v>45+</v>
      </c>
    </row>
    <row r="59" spans="1:15" x14ac:dyDescent="0.25">
      <c r="A59" t="s">
        <v>171</v>
      </c>
      <c r="B59" s="2">
        <v>45858</v>
      </c>
      <c r="C59" t="s">
        <v>172</v>
      </c>
      <c r="D59" t="s">
        <v>83</v>
      </c>
      <c r="E59" t="s">
        <v>16</v>
      </c>
      <c r="F59">
        <v>52</v>
      </c>
      <c r="G59" t="s">
        <v>63</v>
      </c>
      <c r="H59" t="s">
        <v>64</v>
      </c>
      <c r="I59" t="s">
        <v>39</v>
      </c>
      <c r="J59" t="s">
        <v>40</v>
      </c>
      <c r="K59">
        <v>2</v>
      </c>
      <c r="L59">
        <v>350</v>
      </c>
      <c r="M59">
        <v>700</v>
      </c>
      <c r="N59" t="str">
        <f t="shared" si="0"/>
        <v>Jul</v>
      </c>
      <c r="O59" t="str">
        <f t="shared" si="1"/>
        <v>45+</v>
      </c>
    </row>
    <row r="60" spans="1:15" x14ac:dyDescent="0.25">
      <c r="A60" t="s">
        <v>173</v>
      </c>
      <c r="B60" s="2">
        <v>45783</v>
      </c>
      <c r="C60" t="s">
        <v>174</v>
      </c>
      <c r="D60" t="s">
        <v>59</v>
      </c>
      <c r="E60" t="s">
        <v>24</v>
      </c>
      <c r="F60">
        <v>34</v>
      </c>
      <c r="G60" t="s">
        <v>137</v>
      </c>
      <c r="H60" t="s">
        <v>137</v>
      </c>
      <c r="I60" t="s">
        <v>30</v>
      </c>
      <c r="J60" t="s">
        <v>175</v>
      </c>
      <c r="K60">
        <v>2</v>
      </c>
      <c r="L60">
        <v>1800</v>
      </c>
      <c r="M60">
        <v>3600</v>
      </c>
      <c r="N60" t="str">
        <f t="shared" si="0"/>
        <v>May</v>
      </c>
      <c r="O60" t="str">
        <f t="shared" si="1"/>
        <v>25-34</v>
      </c>
    </row>
    <row r="61" spans="1:15" x14ac:dyDescent="0.25">
      <c r="A61" t="s">
        <v>176</v>
      </c>
      <c r="B61" s="2">
        <v>45691</v>
      </c>
      <c r="C61" t="s">
        <v>158</v>
      </c>
      <c r="D61" t="s">
        <v>101</v>
      </c>
      <c r="E61" t="s">
        <v>16</v>
      </c>
      <c r="F61">
        <v>44</v>
      </c>
      <c r="G61" t="s">
        <v>75</v>
      </c>
      <c r="H61" t="s">
        <v>49</v>
      </c>
      <c r="I61" t="s">
        <v>39</v>
      </c>
      <c r="J61" t="s">
        <v>94</v>
      </c>
      <c r="K61">
        <v>2</v>
      </c>
      <c r="L61">
        <v>600</v>
      </c>
      <c r="M61">
        <v>1200</v>
      </c>
      <c r="N61" t="str">
        <f t="shared" si="0"/>
        <v>Feb</v>
      </c>
      <c r="O61" t="str">
        <f t="shared" si="1"/>
        <v>35-44</v>
      </c>
    </row>
    <row r="62" spans="1:15" x14ac:dyDescent="0.25">
      <c r="A62" t="s">
        <v>177</v>
      </c>
      <c r="B62" s="2">
        <v>46005</v>
      </c>
      <c r="C62" t="s">
        <v>178</v>
      </c>
      <c r="D62" t="s">
        <v>97</v>
      </c>
      <c r="E62" t="s">
        <v>24</v>
      </c>
      <c r="F62">
        <v>18</v>
      </c>
      <c r="G62" t="s">
        <v>17</v>
      </c>
      <c r="H62" t="s">
        <v>18</v>
      </c>
      <c r="I62" t="s">
        <v>30</v>
      </c>
      <c r="J62" t="s">
        <v>175</v>
      </c>
      <c r="K62">
        <v>1</v>
      </c>
      <c r="L62">
        <v>1800</v>
      </c>
      <c r="M62">
        <v>1800</v>
      </c>
      <c r="N62" t="str">
        <f t="shared" si="0"/>
        <v>Dec</v>
      </c>
      <c r="O62" t="str">
        <f t="shared" si="1"/>
        <v>18-24</v>
      </c>
    </row>
    <row r="63" spans="1:15" x14ac:dyDescent="0.25">
      <c r="A63" t="s">
        <v>179</v>
      </c>
      <c r="B63" s="2">
        <v>45905</v>
      </c>
      <c r="C63" t="s">
        <v>180</v>
      </c>
      <c r="D63" t="s">
        <v>23</v>
      </c>
      <c r="E63" t="s">
        <v>24</v>
      </c>
      <c r="F63">
        <v>50</v>
      </c>
      <c r="G63" t="s">
        <v>17</v>
      </c>
      <c r="H63" t="s">
        <v>18</v>
      </c>
      <c r="I63" t="s">
        <v>39</v>
      </c>
      <c r="J63" t="s">
        <v>40</v>
      </c>
      <c r="K63">
        <v>1</v>
      </c>
      <c r="L63">
        <v>350</v>
      </c>
      <c r="M63">
        <v>350</v>
      </c>
      <c r="N63" t="str">
        <f t="shared" si="0"/>
        <v>Sep</v>
      </c>
      <c r="O63" t="str">
        <f t="shared" si="1"/>
        <v>45+</v>
      </c>
    </row>
    <row r="64" spans="1:15" x14ac:dyDescent="0.25">
      <c r="A64" t="s">
        <v>181</v>
      </c>
      <c r="B64" s="2">
        <v>45802</v>
      </c>
      <c r="C64" t="s">
        <v>92</v>
      </c>
      <c r="D64" t="s">
        <v>29</v>
      </c>
      <c r="E64" t="s">
        <v>24</v>
      </c>
      <c r="F64">
        <v>23</v>
      </c>
      <c r="G64" t="s">
        <v>48</v>
      </c>
      <c r="H64" t="s">
        <v>49</v>
      </c>
      <c r="I64" t="s">
        <v>30</v>
      </c>
      <c r="J64" t="s">
        <v>71</v>
      </c>
      <c r="K64">
        <v>2</v>
      </c>
      <c r="L64">
        <v>900</v>
      </c>
      <c r="M64">
        <v>1800</v>
      </c>
      <c r="N64" t="str">
        <f t="shared" si="0"/>
        <v>May</v>
      </c>
      <c r="O64" t="str">
        <f t="shared" si="1"/>
        <v>18-24</v>
      </c>
    </row>
    <row r="65" spans="1:15" x14ac:dyDescent="0.25">
      <c r="A65" t="s">
        <v>182</v>
      </c>
      <c r="B65" s="2">
        <v>45995</v>
      </c>
      <c r="C65" t="s">
        <v>145</v>
      </c>
      <c r="D65" t="s">
        <v>113</v>
      </c>
      <c r="E65" t="s">
        <v>16</v>
      </c>
      <c r="F65">
        <v>23</v>
      </c>
      <c r="G65" t="s">
        <v>34</v>
      </c>
      <c r="H65" t="s">
        <v>18</v>
      </c>
      <c r="I65" t="s">
        <v>30</v>
      </c>
      <c r="J65" t="s">
        <v>71</v>
      </c>
      <c r="K65">
        <v>2</v>
      </c>
      <c r="L65">
        <v>900</v>
      </c>
      <c r="M65">
        <v>1800</v>
      </c>
      <c r="N65" t="str">
        <f t="shared" si="0"/>
        <v>Dec</v>
      </c>
      <c r="O65" t="str">
        <f t="shared" si="1"/>
        <v>18-24</v>
      </c>
    </row>
    <row r="66" spans="1:15" x14ac:dyDescent="0.25">
      <c r="A66" t="s">
        <v>183</v>
      </c>
      <c r="B66" s="2">
        <v>45933</v>
      </c>
      <c r="C66" t="s">
        <v>184</v>
      </c>
      <c r="D66" t="s">
        <v>15</v>
      </c>
      <c r="E66" t="s">
        <v>16</v>
      </c>
      <c r="F66">
        <v>55</v>
      </c>
      <c r="G66" t="s">
        <v>48</v>
      </c>
      <c r="H66" t="s">
        <v>49</v>
      </c>
      <c r="I66" t="s">
        <v>30</v>
      </c>
      <c r="J66" t="s">
        <v>31</v>
      </c>
      <c r="K66">
        <v>2</v>
      </c>
      <c r="L66">
        <v>1200</v>
      </c>
      <c r="M66">
        <v>2400</v>
      </c>
      <c r="N66" t="str">
        <f t="shared" si="0"/>
        <v>Oct</v>
      </c>
      <c r="O66" t="str">
        <f t="shared" si="1"/>
        <v>45+</v>
      </c>
    </row>
    <row r="67" spans="1:15" x14ac:dyDescent="0.25">
      <c r="A67" t="s">
        <v>185</v>
      </c>
      <c r="B67" s="2">
        <v>45869</v>
      </c>
      <c r="C67" t="s">
        <v>163</v>
      </c>
      <c r="D67" t="s">
        <v>118</v>
      </c>
      <c r="E67" t="s">
        <v>16</v>
      </c>
      <c r="F67">
        <v>54</v>
      </c>
      <c r="G67" t="s">
        <v>48</v>
      </c>
      <c r="H67" t="s">
        <v>49</v>
      </c>
      <c r="I67" t="s">
        <v>19</v>
      </c>
      <c r="J67" t="s">
        <v>85</v>
      </c>
      <c r="K67">
        <v>1</v>
      </c>
      <c r="L67">
        <v>800</v>
      </c>
      <c r="M67">
        <v>800</v>
      </c>
      <c r="N67" t="str">
        <f t="shared" ref="N67:N130" si="2">TEXT(B67,"mmm")</f>
        <v>Jul</v>
      </c>
      <c r="O67" t="str">
        <f t="shared" si="1"/>
        <v>45+</v>
      </c>
    </row>
    <row r="68" spans="1:15" x14ac:dyDescent="0.25">
      <c r="A68" t="s">
        <v>186</v>
      </c>
      <c r="B68" s="2">
        <v>45698</v>
      </c>
      <c r="C68" t="s">
        <v>145</v>
      </c>
      <c r="D68" t="s">
        <v>78</v>
      </c>
      <c r="E68" t="s">
        <v>16</v>
      </c>
      <c r="F68">
        <v>55</v>
      </c>
      <c r="G68" t="s">
        <v>17</v>
      </c>
      <c r="H68" t="s">
        <v>18</v>
      </c>
      <c r="I68" t="s">
        <v>65</v>
      </c>
      <c r="J68" t="s">
        <v>66</v>
      </c>
      <c r="K68">
        <v>5</v>
      </c>
      <c r="L68">
        <v>500</v>
      </c>
      <c r="M68">
        <v>2500</v>
      </c>
      <c r="N68" t="str">
        <f t="shared" si="2"/>
        <v>Feb</v>
      </c>
      <c r="O68" t="str">
        <f t="shared" ref="O68:O131" si="3">IF(F68&lt;25,"18-24",IF(F68&lt;35,"25-34",IF(F68&lt;45,"35-44","45+")))</f>
        <v>45+</v>
      </c>
    </row>
    <row r="69" spans="1:15" x14ac:dyDescent="0.25">
      <c r="A69" t="s">
        <v>187</v>
      </c>
      <c r="B69" s="2">
        <v>45729</v>
      </c>
      <c r="C69" t="s">
        <v>166</v>
      </c>
      <c r="D69" t="s">
        <v>56</v>
      </c>
      <c r="E69" t="s">
        <v>16</v>
      </c>
      <c r="F69">
        <v>36</v>
      </c>
      <c r="G69" t="s">
        <v>25</v>
      </c>
      <c r="H69" t="s">
        <v>26</v>
      </c>
      <c r="I69" t="s">
        <v>79</v>
      </c>
      <c r="J69" t="s">
        <v>188</v>
      </c>
      <c r="K69">
        <v>2</v>
      </c>
      <c r="L69">
        <v>1800</v>
      </c>
      <c r="M69">
        <v>3600</v>
      </c>
      <c r="N69" t="str">
        <f t="shared" si="2"/>
        <v>Mar</v>
      </c>
      <c r="O69" t="str">
        <f t="shared" si="3"/>
        <v>35-44</v>
      </c>
    </row>
    <row r="70" spans="1:15" x14ac:dyDescent="0.25">
      <c r="A70" t="s">
        <v>189</v>
      </c>
      <c r="B70" s="2">
        <v>45920</v>
      </c>
      <c r="C70" t="s">
        <v>190</v>
      </c>
      <c r="D70" t="s">
        <v>23</v>
      </c>
      <c r="E70" t="s">
        <v>24</v>
      </c>
      <c r="F70">
        <v>38</v>
      </c>
      <c r="G70" t="s">
        <v>63</v>
      </c>
      <c r="H70" t="s">
        <v>64</v>
      </c>
      <c r="I70" t="s">
        <v>19</v>
      </c>
      <c r="J70" t="s">
        <v>85</v>
      </c>
      <c r="K70">
        <v>1</v>
      </c>
      <c r="L70">
        <v>800</v>
      </c>
      <c r="M70">
        <v>800</v>
      </c>
      <c r="N70" t="str">
        <f t="shared" si="2"/>
        <v>Sep</v>
      </c>
      <c r="O70" t="str">
        <f t="shared" si="3"/>
        <v>35-44</v>
      </c>
    </row>
    <row r="71" spans="1:15" x14ac:dyDescent="0.25">
      <c r="A71" t="s">
        <v>191</v>
      </c>
      <c r="B71" s="2">
        <v>45854</v>
      </c>
      <c r="C71" t="s">
        <v>192</v>
      </c>
      <c r="D71" t="s">
        <v>124</v>
      </c>
      <c r="E71" t="s">
        <v>24</v>
      </c>
      <c r="F71">
        <v>36</v>
      </c>
      <c r="G71" t="s">
        <v>17</v>
      </c>
      <c r="H71" t="s">
        <v>18</v>
      </c>
      <c r="I71" t="s">
        <v>30</v>
      </c>
      <c r="J71" t="s">
        <v>71</v>
      </c>
      <c r="K71">
        <v>4</v>
      </c>
      <c r="L71">
        <v>900</v>
      </c>
      <c r="M71">
        <v>3600</v>
      </c>
      <c r="N71" t="str">
        <f t="shared" si="2"/>
        <v>Jul</v>
      </c>
      <c r="O71" t="str">
        <f t="shared" si="3"/>
        <v>35-44</v>
      </c>
    </row>
    <row r="72" spans="1:15" x14ac:dyDescent="0.25">
      <c r="A72" t="s">
        <v>193</v>
      </c>
      <c r="B72" s="2">
        <v>45889</v>
      </c>
      <c r="C72" t="s">
        <v>192</v>
      </c>
      <c r="D72" t="s">
        <v>59</v>
      </c>
      <c r="E72" t="s">
        <v>24</v>
      </c>
      <c r="F72">
        <v>41</v>
      </c>
      <c r="G72" t="s">
        <v>63</v>
      </c>
      <c r="H72" t="s">
        <v>64</v>
      </c>
      <c r="I72" t="s">
        <v>19</v>
      </c>
      <c r="J72" t="s">
        <v>20</v>
      </c>
      <c r="K72">
        <v>4</v>
      </c>
      <c r="L72">
        <v>5000</v>
      </c>
      <c r="M72">
        <v>20000</v>
      </c>
      <c r="N72" t="str">
        <f t="shared" si="2"/>
        <v>Aug</v>
      </c>
      <c r="O72" t="str">
        <f t="shared" si="3"/>
        <v>35-44</v>
      </c>
    </row>
    <row r="73" spans="1:15" x14ac:dyDescent="0.25">
      <c r="A73" t="s">
        <v>194</v>
      </c>
      <c r="B73" s="2">
        <v>45849</v>
      </c>
      <c r="C73" t="s">
        <v>195</v>
      </c>
      <c r="D73" t="s">
        <v>78</v>
      </c>
      <c r="E73" t="s">
        <v>16</v>
      </c>
      <c r="F73">
        <v>42</v>
      </c>
      <c r="G73" t="s">
        <v>70</v>
      </c>
      <c r="H73" t="s">
        <v>18</v>
      </c>
      <c r="I73" t="s">
        <v>30</v>
      </c>
      <c r="J73" t="s">
        <v>175</v>
      </c>
      <c r="K73">
        <v>4</v>
      </c>
      <c r="L73">
        <v>1800</v>
      </c>
      <c r="M73">
        <v>7200</v>
      </c>
      <c r="N73" t="str">
        <f t="shared" si="2"/>
        <v>Jul</v>
      </c>
      <c r="O73" t="str">
        <f t="shared" si="3"/>
        <v>35-44</v>
      </c>
    </row>
    <row r="74" spans="1:15" x14ac:dyDescent="0.25">
      <c r="A74" t="s">
        <v>196</v>
      </c>
      <c r="B74" s="2">
        <v>45811</v>
      </c>
      <c r="C74" t="s">
        <v>105</v>
      </c>
      <c r="D74" t="s">
        <v>74</v>
      </c>
      <c r="E74" t="s">
        <v>16</v>
      </c>
      <c r="F74">
        <v>45</v>
      </c>
      <c r="G74" t="s">
        <v>17</v>
      </c>
      <c r="H74" t="s">
        <v>18</v>
      </c>
      <c r="I74" t="s">
        <v>39</v>
      </c>
      <c r="J74" t="s">
        <v>53</v>
      </c>
      <c r="K74">
        <v>5</v>
      </c>
      <c r="L74">
        <v>800</v>
      </c>
      <c r="M74">
        <v>4000</v>
      </c>
      <c r="N74" t="str">
        <f t="shared" si="2"/>
        <v>Jun</v>
      </c>
      <c r="O74" t="str">
        <f t="shared" si="3"/>
        <v>45+</v>
      </c>
    </row>
    <row r="75" spans="1:15" x14ac:dyDescent="0.25">
      <c r="A75" t="s">
        <v>197</v>
      </c>
      <c r="B75" s="2">
        <v>45888</v>
      </c>
      <c r="C75" t="s">
        <v>160</v>
      </c>
      <c r="D75" t="s">
        <v>93</v>
      </c>
      <c r="E75" t="s">
        <v>24</v>
      </c>
      <c r="F75">
        <v>28</v>
      </c>
      <c r="G75" t="s">
        <v>75</v>
      </c>
      <c r="H75" t="s">
        <v>49</v>
      </c>
      <c r="I75" t="s">
        <v>79</v>
      </c>
      <c r="J75" t="s">
        <v>80</v>
      </c>
      <c r="K75">
        <v>1</v>
      </c>
      <c r="L75">
        <v>600</v>
      </c>
      <c r="M75">
        <v>600</v>
      </c>
      <c r="N75" t="str">
        <f t="shared" si="2"/>
        <v>Aug</v>
      </c>
      <c r="O75" t="str">
        <f t="shared" si="3"/>
        <v>25-34</v>
      </c>
    </row>
    <row r="76" spans="1:15" x14ac:dyDescent="0.25">
      <c r="A76" t="s">
        <v>198</v>
      </c>
      <c r="B76" s="2">
        <v>45996</v>
      </c>
      <c r="C76" t="s">
        <v>199</v>
      </c>
      <c r="D76" t="s">
        <v>74</v>
      </c>
      <c r="E76" t="s">
        <v>16</v>
      </c>
      <c r="F76">
        <v>40</v>
      </c>
      <c r="G76" t="s">
        <v>70</v>
      </c>
      <c r="H76" t="s">
        <v>18</v>
      </c>
      <c r="I76" t="s">
        <v>79</v>
      </c>
      <c r="J76" t="s">
        <v>188</v>
      </c>
      <c r="K76">
        <v>4</v>
      </c>
      <c r="L76">
        <v>1800</v>
      </c>
      <c r="M76">
        <v>7200</v>
      </c>
      <c r="N76" t="str">
        <f t="shared" si="2"/>
        <v>Dec</v>
      </c>
      <c r="O76" t="str">
        <f t="shared" si="3"/>
        <v>35-44</v>
      </c>
    </row>
    <row r="77" spans="1:15" x14ac:dyDescent="0.25">
      <c r="A77" t="s">
        <v>200</v>
      </c>
      <c r="B77" s="2">
        <v>45827</v>
      </c>
      <c r="C77" t="s">
        <v>201</v>
      </c>
      <c r="D77" t="s">
        <v>106</v>
      </c>
      <c r="E77" t="s">
        <v>24</v>
      </c>
      <c r="F77">
        <v>20</v>
      </c>
      <c r="G77" t="s">
        <v>63</v>
      </c>
      <c r="H77" t="s">
        <v>64</v>
      </c>
      <c r="I77" t="s">
        <v>79</v>
      </c>
      <c r="J77" t="s">
        <v>114</v>
      </c>
      <c r="K77">
        <v>2</v>
      </c>
      <c r="L77">
        <v>2500</v>
      </c>
      <c r="M77">
        <v>5000</v>
      </c>
      <c r="N77" t="str">
        <f t="shared" si="2"/>
        <v>Jun</v>
      </c>
      <c r="O77" t="str">
        <f t="shared" si="3"/>
        <v>18-24</v>
      </c>
    </row>
    <row r="78" spans="1:15" x14ac:dyDescent="0.25">
      <c r="A78" t="s">
        <v>202</v>
      </c>
      <c r="B78" s="2">
        <v>45730</v>
      </c>
      <c r="C78" t="s">
        <v>136</v>
      </c>
      <c r="D78" t="s">
        <v>118</v>
      </c>
      <c r="E78" t="s">
        <v>16</v>
      </c>
      <c r="F78">
        <v>33</v>
      </c>
      <c r="G78" t="s">
        <v>34</v>
      </c>
      <c r="H78" t="s">
        <v>18</v>
      </c>
      <c r="I78" t="s">
        <v>65</v>
      </c>
      <c r="J78" t="s">
        <v>66</v>
      </c>
      <c r="K78">
        <v>3</v>
      </c>
      <c r="L78">
        <v>500</v>
      </c>
      <c r="M78">
        <v>1500</v>
      </c>
      <c r="N78" t="str">
        <f t="shared" si="2"/>
        <v>Mar</v>
      </c>
      <c r="O78" t="str">
        <f t="shared" si="3"/>
        <v>25-34</v>
      </c>
    </row>
    <row r="79" spans="1:15" x14ac:dyDescent="0.25">
      <c r="A79" t="s">
        <v>203</v>
      </c>
      <c r="B79" s="2">
        <v>45987</v>
      </c>
      <c r="C79" t="s">
        <v>174</v>
      </c>
      <c r="D79" t="s">
        <v>62</v>
      </c>
      <c r="E79" t="s">
        <v>16</v>
      </c>
      <c r="F79">
        <v>44</v>
      </c>
      <c r="G79" t="s">
        <v>34</v>
      </c>
      <c r="H79" t="s">
        <v>18</v>
      </c>
      <c r="I79" t="s">
        <v>65</v>
      </c>
      <c r="J79" t="s">
        <v>121</v>
      </c>
      <c r="K79">
        <v>2</v>
      </c>
      <c r="L79">
        <v>900</v>
      </c>
      <c r="M79">
        <v>1800</v>
      </c>
      <c r="N79" t="str">
        <f t="shared" si="2"/>
        <v>Nov</v>
      </c>
      <c r="O79" t="str">
        <f t="shared" si="3"/>
        <v>35-44</v>
      </c>
    </row>
    <row r="80" spans="1:15" x14ac:dyDescent="0.25">
      <c r="A80" t="s">
        <v>204</v>
      </c>
      <c r="B80" s="2">
        <v>45691</v>
      </c>
      <c r="C80" t="s">
        <v>205</v>
      </c>
      <c r="D80" t="s">
        <v>78</v>
      </c>
      <c r="E80" t="s">
        <v>16</v>
      </c>
      <c r="F80">
        <v>27</v>
      </c>
      <c r="G80" t="s">
        <v>25</v>
      </c>
      <c r="H80" t="s">
        <v>26</v>
      </c>
      <c r="I80" t="s">
        <v>65</v>
      </c>
      <c r="J80" t="s">
        <v>121</v>
      </c>
      <c r="K80">
        <v>4</v>
      </c>
      <c r="L80">
        <v>900</v>
      </c>
      <c r="M80">
        <v>3600</v>
      </c>
      <c r="N80" t="str">
        <f t="shared" si="2"/>
        <v>Feb</v>
      </c>
      <c r="O80" t="str">
        <f t="shared" si="3"/>
        <v>25-34</v>
      </c>
    </row>
    <row r="81" spans="1:15" x14ac:dyDescent="0.25">
      <c r="A81" t="s">
        <v>206</v>
      </c>
      <c r="B81" s="2">
        <v>46007</v>
      </c>
      <c r="C81" t="s">
        <v>207</v>
      </c>
      <c r="D81" t="s">
        <v>124</v>
      </c>
      <c r="E81" t="s">
        <v>24</v>
      </c>
      <c r="F81">
        <v>52</v>
      </c>
      <c r="G81" t="s">
        <v>34</v>
      </c>
      <c r="H81" t="s">
        <v>18</v>
      </c>
      <c r="I81" t="s">
        <v>79</v>
      </c>
      <c r="J81" t="s">
        <v>208</v>
      </c>
      <c r="K81">
        <v>5</v>
      </c>
      <c r="L81">
        <v>3000</v>
      </c>
      <c r="M81">
        <v>15000</v>
      </c>
      <c r="N81" t="str">
        <f t="shared" si="2"/>
        <v>Dec</v>
      </c>
      <c r="O81" t="str">
        <f t="shared" si="3"/>
        <v>45+</v>
      </c>
    </row>
    <row r="82" spans="1:15" x14ac:dyDescent="0.25">
      <c r="A82" t="s">
        <v>209</v>
      </c>
      <c r="B82" s="2">
        <v>45901</v>
      </c>
      <c r="C82" t="s">
        <v>100</v>
      </c>
      <c r="D82" t="s">
        <v>56</v>
      </c>
      <c r="E82" t="s">
        <v>16</v>
      </c>
      <c r="F82">
        <v>39</v>
      </c>
      <c r="G82" t="s">
        <v>137</v>
      </c>
      <c r="H82" t="s">
        <v>137</v>
      </c>
      <c r="I82" t="s">
        <v>19</v>
      </c>
      <c r="J82" t="s">
        <v>85</v>
      </c>
      <c r="K82">
        <v>1</v>
      </c>
      <c r="L82">
        <v>800</v>
      </c>
      <c r="M82">
        <v>800</v>
      </c>
      <c r="N82" t="str">
        <f t="shared" si="2"/>
        <v>Sep</v>
      </c>
      <c r="O82" t="str">
        <f t="shared" si="3"/>
        <v>35-44</v>
      </c>
    </row>
    <row r="83" spans="1:15" x14ac:dyDescent="0.25">
      <c r="A83" t="s">
        <v>210</v>
      </c>
      <c r="B83" s="2">
        <v>45678</v>
      </c>
      <c r="C83" t="s">
        <v>143</v>
      </c>
      <c r="D83" t="s">
        <v>52</v>
      </c>
      <c r="E83" t="s">
        <v>24</v>
      </c>
      <c r="F83">
        <v>55</v>
      </c>
      <c r="G83" t="s">
        <v>17</v>
      </c>
      <c r="H83" t="s">
        <v>18</v>
      </c>
      <c r="I83" t="s">
        <v>65</v>
      </c>
      <c r="J83" t="s">
        <v>121</v>
      </c>
      <c r="K83">
        <v>3</v>
      </c>
      <c r="L83">
        <v>900</v>
      </c>
      <c r="M83">
        <v>2700</v>
      </c>
      <c r="N83" t="str">
        <f t="shared" si="2"/>
        <v>Jan</v>
      </c>
      <c r="O83" t="str">
        <f t="shared" si="3"/>
        <v>45+</v>
      </c>
    </row>
    <row r="84" spans="1:15" x14ac:dyDescent="0.25">
      <c r="A84" t="s">
        <v>211</v>
      </c>
      <c r="B84" s="2">
        <v>45937</v>
      </c>
      <c r="C84" t="s">
        <v>117</v>
      </c>
      <c r="D84" t="s">
        <v>124</v>
      </c>
      <c r="E84" t="s">
        <v>24</v>
      </c>
      <c r="F84">
        <v>21</v>
      </c>
      <c r="G84" t="s">
        <v>48</v>
      </c>
      <c r="H84" t="s">
        <v>49</v>
      </c>
      <c r="I84" t="s">
        <v>19</v>
      </c>
      <c r="J84" t="s">
        <v>76</v>
      </c>
      <c r="K84">
        <v>4</v>
      </c>
      <c r="L84">
        <v>2500</v>
      </c>
      <c r="M84">
        <v>10000</v>
      </c>
      <c r="N84" t="str">
        <f t="shared" si="2"/>
        <v>Oct</v>
      </c>
      <c r="O84" t="str">
        <f t="shared" si="3"/>
        <v>18-24</v>
      </c>
    </row>
    <row r="85" spans="1:15" x14ac:dyDescent="0.25">
      <c r="A85" t="s">
        <v>212</v>
      </c>
      <c r="B85" s="2">
        <v>45770</v>
      </c>
      <c r="C85" t="s">
        <v>213</v>
      </c>
      <c r="D85" t="s">
        <v>74</v>
      </c>
      <c r="E85" t="s">
        <v>16</v>
      </c>
      <c r="F85">
        <v>47</v>
      </c>
      <c r="G85" t="s">
        <v>25</v>
      </c>
      <c r="H85" t="s">
        <v>26</v>
      </c>
      <c r="I85" t="s">
        <v>30</v>
      </c>
      <c r="J85" t="s">
        <v>175</v>
      </c>
      <c r="K85">
        <v>4</v>
      </c>
      <c r="L85">
        <v>1800</v>
      </c>
      <c r="M85">
        <v>7200</v>
      </c>
      <c r="N85" t="str">
        <f t="shared" si="2"/>
        <v>Apr</v>
      </c>
      <c r="O85" t="str">
        <f t="shared" si="3"/>
        <v>45+</v>
      </c>
    </row>
    <row r="86" spans="1:15" x14ac:dyDescent="0.25">
      <c r="A86" t="s">
        <v>214</v>
      </c>
      <c r="B86" s="2">
        <v>45814</v>
      </c>
      <c r="C86" t="s">
        <v>215</v>
      </c>
      <c r="D86" t="s">
        <v>106</v>
      </c>
      <c r="E86" t="s">
        <v>24</v>
      </c>
      <c r="F86">
        <v>44</v>
      </c>
      <c r="G86" t="s">
        <v>137</v>
      </c>
      <c r="H86" t="s">
        <v>137</v>
      </c>
      <c r="I86" t="s">
        <v>19</v>
      </c>
      <c r="J86" t="s">
        <v>76</v>
      </c>
      <c r="K86">
        <v>1</v>
      </c>
      <c r="L86">
        <v>2500</v>
      </c>
      <c r="M86">
        <v>2500</v>
      </c>
      <c r="N86" t="str">
        <f t="shared" si="2"/>
        <v>Jun</v>
      </c>
      <c r="O86" t="str">
        <f t="shared" si="3"/>
        <v>35-44</v>
      </c>
    </row>
    <row r="87" spans="1:15" x14ac:dyDescent="0.25">
      <c r="A87" t="s">
        <v>216</v>
      </c>
      <c r="B87" s="2">
        <v>45932</v>
      </c>
      <c r="C87" t="s">
        <v>201</v>
      </c>
      <c r="D87" t="s">
        <v>152</v>
      </c>
      <c r="E87" t="s">
        <v>16</v>
      </c>
      <c r="F87">
        <v>29</v>
      </c>
      <c r="G87" t="s">
        <v>38</v>
      </c>
      <c r="H87" t="s">
        <v>26</v>
      </c>
      <c r="I87" t="s">
        <v>79</v>
      </c>
      <c r="J87" t="s">
        <v>188</v>
      </c>
      <c r="K87">
        <v>1</v>
      </c>
      <c r="L87">
        <v>1800</v>
      </c>
      <c r="M87">
        <v>1800</v>
      </c>
      <c r="N87" t="str">
        <f t="shared" si="2"/>
        <v>Oct</v>
      </c>
      <c r="O87" t="str">
        <f t="shared" si="3"/>
        <v>25-34</v>
      </c>
    </row>
    <row r="88" spans="1:15" x14ac:dyDescent="0.25">
      <c r="A88" t="s">
        <v>217</v>
      </c>
      <c r="B88" s="2">
        <v>45771</v>
      </c>
      <c r="C88" t="s">
        <v>218</v>
      </c>
      <c r="D88" t="s">
        <v>106</v>
      </c>
      <c r="E88" t="s">
        <v>24</v>
      </c>
      <c r="F88">
        <v>32</v>
      </c>
      <c r="G88" t="s">
        <v>25</v>
      </c>
      <c r="H88" t="s">
        <v>26</v>
      </c>
      <c r="I88" t="s">
        <v>65</v>
      </c>
      <c r="J88" t="s">
        <v>146</v>
      </c>
      <c r="K88">
        <v>1</v>
      </c>
      <c r="L88">
        <v>300</v>
      </c>
      <c r="M88">
        <v>300</v>
      </c>
      <c r="N88" t="str">
        <f t="shared" si="2"/>
        <v>Apr</v>
      </c>
      <c r="O88" t="str">
        <f t="shared" si="3"/>
        <v>25-34</v>
      </c>
    </row>
    <row r="89" spans="1:15" x14ac:dyDescent="0.25">
      <c r="A89" t="s">
        <v>219</v>
      </c>
      <c r="B89" s="2">
        <v>45671</v>
      </c>
      <c r="C89" t="s">
        <v>218</v>
      </c>
      <c r="D89" t="s">
        <v>78</v>
      </c>
      <c r="E89" t="s">
        <v>16</v>
      </c>
      <c r="F89">
        <v>21</v>
      </c>
      <c r="G89" t="s">
        <v>70</v>
      </c>
      <c r="H89" t="s">
        <v>18</v>
      </c>
      <c r="I89" t="s">
        <v>19</v>
      </c>
      <c r="J89" t="s">
        <v>85</v>
      </c>
      <c r="K89">
        <v>1</v>
      </c>
      <c r="L89">
        <v>800</v>
      </c>
      <c r="M89">
        <v>800</v>
      </c>
      <c r="N89" t="str">
        <f t="shared" si="2"/>
        <v>Jan</v>
      </c>
      <c r="O89" t="str">
        <f t="shared" si="3"/>
        <v>18-24</v>
      </c>
    </row>
    <row r="90" spans="1:15" x14ac:dyDescent="0.25">
      <c r="A90" t="s">
        <v>220</v>
      </c>
      <c r="B90" s="2">
        <v>46019</v>
      </c>
      <c r="C90" t="s">
        <v>58</v>
      </c>
      <c r="D90" t="s">
        <v>113</v>
      </c>
      <c r="E90" t="s">
        <v>16</v>
      </c>
      <c r="F90">
        <v>27</v>
      </c>
      <c r="G90" t="s">
        <v>38</v>
      </c>
      <c r="H90" t="s">
        <v>26</v>
      </c>
      <c r="I90" t="s">
        <v>79</v>
      </c>
      <c r="J90" t="s">
        <v>208</v>
      </c>
      <c r="K90">
        <v>1</v>
      </c>
      <c r="L90">
        <v>3000</v>
      </c>
      <c r="M90">
        <v>3000</v>
      </c>
      <c r="N90" t="str">
        <f t="shared" si="2"/>
        <v>Dec</v>
      </c>
      <c r="O90" t="str">
        <f t="shared" si="3"/>
        <v>25-34</v>
      </c>
    </row>
    <row r="91" spans="1:15" x14ac:dyDescent="0.25">
      <c r="A91" t="s">
        <v>221</v>
      </c>
      <c r="B91" s="2">
        <v>45774</v>
      </c>
      <c r="C91" t="s">
        <v>222</v>
      </c>
      <c r="D91" t="s">
        <v>124</v>
      </c>
      <c r="E91" t="s">
        <v>24</v>
      </c>
      <c r="F91">
        <v>33</v>
      </c>
      <c r="G91" t="s">
        <v>63</v>
      </c>
      <c r="H91" t="s">
        <v>64</v>
      </c>
      <c r="I91" t="s">
        <v>39</v>
      </c>
      <c r="J91" t="s">
        <v>94</v>
      </c>
      <c r="K91">
        <v>3</v>
      </c>
      <c r="L91">
        <v>600</v>
      </c>
      <c r="M91">
        <v>1800</v>
      </c>
      <c r="N91" t="str">
        <f t="shared" si="2"/>
        <v>Apr</v>
      </c>
      <c r="O91" t="str">
        <f t="shared" si="3"/>
        <v>25-34</v>
      </c>
    </row>
    <row r="92" spans="1:15" x14ac:dyDescent="0.25">
      <c r="A92" t="s">
        <v>223</v>
      </c>
      <c r="B92" s="2">
        <v>45789</v>
      </c>
      <c r="C92" t="s">
        <v>224</v>
      </c>
      <c r="D92" t="s">
        <v>152</v>
      </c>
      <c r="E92" t="s">
        <v>16</v>
      </c>
      <c r="F92">
        <v>21</v>
      </c>
      <c r="G92" t="s">
        <v>17</v>
      </c>
      <c r="H92" t="s">
        <v>18</v>
      </c>
      <c r="I92" t="s">
        <v>79</v>
      </c>
      <c r="J92" t="s">
        <v>80</v>
      </c>
      <c r="K92">
        <v>3</v>
      </c>
      <c r="L92">
        <v>600</v>
      </c>
      <c r="M92">
        <v>1800</v>
      </c>
      <c r="N92" t="str">
        <f t="shared" si="2"/>
        <v>May</v>
      </c>
      <c r="O92" t="str">
        <f t="shared" si="3"/>
        <v>18-24</v>
      </c>
    </row>
    <row r="93" spans="1:15" x14ac:dyDescent="0.25">
      <c r="A93" t="s">
        <v>225</v>
      </c>
      <c r="B93" s="2">
        <v>45712</v>
      </c>
      <c r="C93" t="s">
        <v>215</v>
      </c>
      <c r="D93" t="s">
        <v>106</v>
      </c>
      <c r="E93" t="s">
        <v>24</v>
      </c>
      <c r="F93">
        <v>52</v>
      </c>
      <c r="G93" t="s">
        <v>63</v>
      </c>
      <c r="H93" t="s">
        <v>64</v>
      </c>
      <c r="I93" t="s">
        <v>30</v>
      </c>
      <c r="J93" t="s">
        <v>71</v>
      </c>
      <c r="K93">
        <v>3</v>
      </c>
      <c r="L93">
        <v>900</v>
      </c>
      <c r="M93">
        <v>2700</v>
      </c>
      <c r="N93" t="str">
        <f t="shared" si="2"/>
        <v>Feb</v>
      </c>
      <c r="O93" t="str">
        <f t="shared" si="3"/>
        <v>45+</v>
      </c>
    </row>
    <row r="94" spans="1:15" x14ac:dyDescent="0.25">
      <c r="A94" t="s">
        <v>226</v>
      </c>
      <c r="B94" s="2">
        <v>45977</v>
      </c>
      <c r="C94" t="s">
        <v>141</v>
      </c>
      <c r="D94" t="s">
        <v>152</v>
      </c>
      <c r="E94" t="s">
        <v>16</v>
      </c>
      <c r="F94">
        <v>26</v>
      </c>
      <c r="G94" t="s">
        <v>38</v>
      </c>
      <c r="H94" t="s">
        <v>26</v>
      </c>
      <c r="I94" t="s">
        <v>19</v>
      </c>
      <c r="J94" t="s">
        <v>45</v>
      </c>
      <c r="K94">
        <v>4</v>
      </c>
      <c r="L94">
        <v>1500</v>
      </c>
      <c r="M94">
        <v>6000</v>
      </c>
      <c r="N94" t="str">
        <f t="shared" si="2"/>
        <v>Nov</v>
      </c>
      <c r="O94" t="str">
        <f t="shared" si="3"/>
        <v>25-34</v>
      </c>
    </row>
    <row r="95" spans="1:15" x14ac:dyDescent="0.25">
      <c r="A95" t="s">
        <v>227</v>
      </c>
      <c r="B95" s="2">
        <v>45853</v>
      </c>
      <c r="C95" t="s">
        <v>92</v>
      </c>
      <c r="D95" t="s">
        <v>152</v>
      </c>
      <c r="E95" t="s">
        <v>16</v>
      </c>
      <c r="F95">
        <v>35</v>
      </c>
      <c r="G95" t="s">
        <v>75</v>
      </c>
      <c r="H95" t="s">
        <v>49</v>
      </c>
      <c r="I95" t="s">
        <v>30</v>
      </c>
      <c r="J95" t="s">
        <v>71</v>
      </c>
      <c r="K95">
        <v>3</v>
      </c>
      <c r="L95">
        <v>900</v>
      </c>
      <c r="M95">
        <v>2700</v>
      </c>
      <c r="N95" t="str">
        <f t="shared" si="2"/>
        <v>Jul</v>
      </c>
      <c r="O95" t="str">
        <f t="shared" si="3"/>
        <v>35-44</v>
      </c>
    </row>
    <row r="96" spans="1:15" x14ac:dyDescent="0.25">
      <c r="A96" t="s">
        <v>228</v>
      </c>
      <c r="B96" s="2">
        <v>45754</v>
      </c>
      <c r="C96" t="s">
        <v>163</v>
      </c>
      <c r="D96" t="s">
        <v>56</v>
      </c>
      <c r="E96" t="s">
        <v>16</v>
      </c>
      <c r="F96">
        <v>26</v>
      </c>
      <c r="G96" t="s">
        <v>17</v>
      </c>
      <c r="H96" t="s">
        <v>18</v>
      </c>
      <c r="I96" t="s">
        <v>65</v>
      </c>
      <c r="J96" t="s">
        <v>146</v>
      </c>
      <c r="K96">
        <v>3</v>
      </c>
      <c r="L96">
        <v>300</v>
      </c>
      <c r="M96">
        <v>900</v>
      </c>
      <c r="N96" t="str">
        <f t="shared" si="2"/>
        <v>Apr</v>
      </c>
      <c r="O96" t="str">
        <f t="shared" si="3"/>
        <v>25-34</v>
      </c>
    </row>
    <row r="97" spans="1:15" x14ac:dyDescent="0.25">
      <c r="A97" t="s">
        <v>229</v>
      </c>
      <c r="B97" s="2">
        <v>45752</v>
      </c>
      <c r="C97" t="s">
        <v>230</v>
      </c>
      <c r="D97" t="s">
        <v>118</v>
      </c>
      <c r="E97" t="s">
        <v>16</v>
      </c>
      <c r="F97">
        <v>30</v>
      </c>
      <c r="G97" t="s">
        <v>25</v>
      </c>
      <c r="H97" t="s">
        <v>26</v>
      </c>
      <c r="I97" t="s">
        <v>30</v>
      </c>
      <c r="J97" t="s">
        <v>71</v>
      </c>
      <c r="K97">
        <v>4</v>
      </c>
      <c r="L97">
        <v>900</v>
      </c>
      <c r="M97">
        <v>3600</v>
      </c>
      <c r="N97" t="str">
        <f t="shared" si="2"/>
        <v>Apr</v>
      </c>
      <c r="O97" t="str">
        <f t="shared" si="3"/>
        <v>25-34</v>
      </c>
    </row>
    <row r="98" spans="1:15" x14ac:dyDescent="0.25">
      <c r="A98" t="s">
        <v>231</v>
      </c>
      <c r="B98" s="2">
        <v>45841</v>
      </c>
      <c r="C98" t="s">
        <v>232</v>
      </c>
      <c r="D98" t="s">
        <v>93</v>
      </c>
      <c r="E98" t="s">
        <v>24</v>
      </c>
      <c r="F98">
        <v>34</v>
      </c>
      <c r="G98" t="s">
        <v>43</v>
      </c>
      <c r="H98" t="s">
        <v>44</v>
      </c>
      <c r="I98" t="s">
        <v>65</v>
      </c>
      <c r="J98" t="s">
        <v>66</v>
      </c>
      <c r="K98">
        <v>4</v>
      </c>
      <c r="L98">
        <v>500</v>
      </c>
      <c r="M98">
        <v>2000</v>
      </c>
      <c r="N98" t="str">
        <f t="shared" si="2"/>
        <v>Jul</v>
      </c>
      <c r="O98" t="str">
        <f t="shared" si="3"/>
        <v>25-34</v>
      </c>
    </row>
    <row r="99" spans="1:15" x14ac:dyDescent="0.25">
      <c r="A99" t="s">
        <v>233</v>
      </c>
      <c r="B99" s="2">
        <v>45844</v>
      </c>
      <c r="C99" t="s">
        <v>110</v>
      </c>
      <c r="D99" t="s">
        <v>23</v>
      </c>
      <c r="E99" t="s">
        <v>24</v>
      </c>
      <c r="F99">
        <v>45</v>
      </c>
      <c r="G99" t="s">
        <v>48</v>
      </c>
      <c r="H99" t="s">
        <v>49</v>
      </c>
      <c r="I99" t="s">
        <v>65</v>
      </c>
      <c r="J99" t="s">
        <v>146</v>
      </c>
      <c r="K99">
        <v>3</v>
      </c>
      <c r="L99">
        <v>300</v>
      </c>
      <c r="M99">
        <v>900</v>
      </c>
      <c r="N99" t="str">
        <f t="shared" si="2"/>
        <v>Jul</v>
      </c>
      <c r="O99" t="str">
        <f t="shared" si="3"/>
        <v>45+</v>
      </c>
    </row>
    <row r="100" spans="1:15" x14ac:dyDescent="0.25">
      <c r="A100" t="s">
        <v>234</v>
      </c>
      <c r="B100" s="2">
        <v>45730</v>
      </c>
      <c r="C100" t="s">
        <v>199</v>
      </c>
      <c r="D100" t="s">
        <v>69</v>
      </c>
      <c r="E100" t="s">
        <v>24</v>
      </c>
      <c r="F100">
        <v>31</v>
      </c>
      <c r="G100" t="s">
        <v>63</v>
      </c>
      <c r="H100" t="s">
        <v>64</v>
      </c>
      <c r="I100" t="s">
        <v>30</v>
      </c>
      <c r="J100" t="s">
        <v>31</v>
      </c>
      <c r="K100">
        <v>2</v>
      </c>
      <c r="L100">
        <v>1200</v>
      </c>
      <c r="M100">
        <v>2400</v>
      </c>
      <c r="N100" t="str">
        <f t="shared" si="2"/>
        <v>Mar</v>
      </c>
      <c r="O100" t="str">
        <f t="shared" si="3"/>
        <v>25-34</v>
      </c>
    </row>
    <row r="101" spans="1:15" x14ac:dyDescent="0.25">
      <c r="A101" t="s">
        <v>235</v>
      </c>
      <c r="B101" s="2">
        <v>45869</v>
      </c>
      <c r="C101" t="s">
        <v>28</v>
      </c>
      <c r="D101" t="s">
        <v>90</v>
      </c>
      <c r="E101" t="s">
        <v>24</v>
      </c>
      <c r="F101">
        <v>50</v>
      </c>
      <c r="G101" t="s">
        <v>70</v>
      </c>
      <c r="H101" t="s">
        <v>18</v>
      </c>
      <c r="I101" t="s">
        <v>19</v>
      </c>
      <c r="J101" t="s">
        <v>85</v>
      </c>
      <c r="K101">
        <v>2</v>
      </c>
      <c r="L101">
        <v>800</v>
      </c>
      <c r="M101">
        <v>1600</v>
      </c>
      <c r="N101" t="str">
        <f t="shared" si="2"/>
        <v>Jul</v>
      </c>
      <c r="O101" t="str">
        <f t="shared" si="3"/>
        <v>45+</v>
      </c>
    </row>
    <row r="102" spans="1:15" x14ac:dyDescent="0.25">
      <c r="A102" t="s">
        <v>236</v>
      </c>
      <c r="B102" s="2">
        <v>45753</v>
      </c>
      <c r="C102" t="s">
        <v>158</v>
      </c>
      <c r="D102" t="s">
        <v>59</v>
      </c>
      <c r="E102" t="s">
        <v>24</v>
      </c>
      <c r="F102">
        <v>23</v>
      </c>
      <c r="G102" t="s">
        <v>38</v>
      </c>
      <c r="H102" t="s">
        <v>26</v>
      </c>
      <c r="I102" t="s">
        <v>79</v>
      </c>
      <c r="J102" t="s">
        <v>80</v>
      </c>
      <c r="K102">
        <v>5</v>
      </c>
      <c r="L102">
        <v>600</v>
      </c>
      <c r="M102">
        <v>3000</v>
      </c>
      <c r="N102" t="str">
        <f t="shared" si="2"/>
        <v>Apr</v>
      </c>
      <c r="O102" t="str">
        <f t="shared" si="3"/>
        <v>18-24</v>
      </c>
    </row>
    <row r="103" spans="1:15" x14ac:dyDescent="0.25">
      <c r="A103" t="s">
        <v>237</v>
      </c>
      <c r="B103" s="2">
        <v>45699</v>
      </c>
      <c r="C103" t="s">
        <v>145</v>
      </c>
      <c r="D103" t="s">
        <v>101</v>
      </c>
      <c r="E103" t="s">
        <v>16</v>
      </c>
      <c r="F103">
        <v>48</v>
      </c>
      <c r="G103" t="s">
        <v>25</v>
      </c>
      <c r="H103" t="s">
        <v>26</v>
      </c>
      <c r="I103" t="s">
        <v>79</v>
      </c>
      <c r="J103" t="s">
        <v>80</v>
      </c>
      <c r="K103">
        <v>2</v>
      </c>
      <c r="L103">
        <v>600</v>
      </c>
      <c r="M103">
        <v>1200</v>
      </c>
      <c r="N103" t="str">
        <f t="shared" si="2"/>
        <v>Feb</v>
      </c>
      <c r="O103" t="str">
        <f t="shared" si="3"/>
        <v>45+</v>
      </c>
    </row>
    <row r="104" spans="1:15" x14ac:dyDescent="0.25">
      <c r="A104" t="s">
        <v>238</v>
      </c>
      <c r="B104" s="2">
        <v>45658</v>
      </c>
      <c r="C104" t="s">
        <v>37</v>
      </c>
      <c r="D104" t="s">
        <v>15</v>
      </c>
      <c r="E104" t="s">
        <v>16</v>
      </c>
      <c r="F104">
        <v>50</v>
      </c>
      <c r="G104" t="s">
        <v>17</v>
      </c>
      <c r="H104" t="s">
        <v>18</v>
      </c>
      <c r="I104" t="s">
        <v>39</v>
      </c>
      <c r="J104" t="s">
        <v>60</v>
      </c>
      <c r="K104">
        <v>2</v>
      </c>
      <c r="L104">
        <v>1500</v>
      </c>
      <c r="M104">
        <v>3000</v>
      </c>
      <c r="N104" t="str">
        <f t="shared" si="2"/>
        <v>Jan</v>
      </c>
      <c r="O104" t="str">
        <f t="shared" si="3"/>
        <v>45+</v>
      </c>
    </row>
    <row r="105" spans="1:15" x14ac:dyDescent="0.25">
      <c r="A105" t="s">
        <v>239</v>
      </c>
      <c r="B105" s="2">
        <v>45849</v>
      </c>
      <c r="C105" t="s">
        <v>37</v>
      </c>
      <c r="D105" t="s">
        <v>118</v>
      </c>
      <c r="E105" t="s">
        <v>16</v>
      </c>
      <c r="F105">
        <v>18</v>
      </c>
      <c r="G105" t="s">
        <v>43</v>
      </c>
      <c r="H105" t="s">
        <v>44</v>
      </c>
      <c r="I105" t="s">
        <v>19</v>
      </c>
      <c r="J105" t="s">
        <v>20</v>
      </c>
      <c r="K105">
        <v>1</v>
      </c>
      <c r="L105">
        <v>5000</v>
      </c>
      <c r="M105">
        <v>5000</v>
      </c>
      <c r="N105" t="str">
        <f t="shared" si="2"/>
        <v>Jul</v>
      </c>
      <c r="O105" t="str">
        <f t="shared" si="3"/>
        <v>18-24</v>
      </c>
    </row>
    <row r="106" spans="1:15" x14ac:dyDescent="0.25">
      <c r="A106" t="s">
        <v>240</v>
      </c>
      <c r="B106" s="2">
        <v>45891</v>
      </c>
      <c r="C106" t="s">
        <v>241</v>
      </c>
      <c r="D106" t="s">
        <v>78</v>
      </c>
      <c r="E106" t="s">
        <v>16</v>
      </c>
      <c r="F106">
        <v>37</v>
      </c>
      <c r="G106" t="s">
        <v>63</v>
      </c>
      <c r="H106" t="s">
        <v>64</v>
      </c>
      <c r="I106" t="s">
        <v>39</v>
      </c>
      <c r="J106" t="s">
        <v>40</v>
      </c>
      <c r="K106">
        <v>4</v>
      </c>
      <c r="L106">
        <v>350</v>
      </c>
      <c r="M106">
        <v>1400</v>
      </c>
      <c r="N106" t="str">
        <f t="shared" si="2"/>
        <v>Aug</v>
      </c>
      <c r="O106" t="str">
        <f t="shared" si="3"/>
        <v>35-44</v>
      </c>
    </row>
    <row r="107" spans="1:15" x14ac:dyDescent="0.25">
      <c r="A107" t="s">
        <v>242</v>
      </c>
      <c r="B107" s="2">
        <v>45891</v>
      </c>
      <c r="C107" t="s">
        <v>110</v>
      </c>
      <c r="D107" t="s">
        <v>23</v>
      </c>
      <c r="E107" t="s">
        <v>24</v>
      </c>
      <c r="F107">
        <v>31</v>
      </c>
      <c r="G107" t="s">
        <v>38</v>
      </c>
      <c r="H107" t="s">
        <v>26</v>
      </c>
      <c r="I107" t="s">
        <v>79</v>
      </c>
      <c r="J107" t="s">
        <v>188</v>
      </c>
      <c r="K107">
        <v>5</v>
      </c>
      <c r="L107">
        <v>1800</v>
      </c>
      <c r="M107">
        <v>9000</v>
      </c>
      <c r="N107" t="str">
        <f t="shared" si="2"/>
        <v>Aug</v>
      </c>
      <c r="O107" t="str">
        <f t="shared" si="3"/>
        <v>25-34</v>
      </c>
    </row>
    <row r="108" spans="1:15" x14ac:dyDescent="0.25">
      <c r="A108" t="s">
        <v>243</v>
      </c>
      <c r="B108" s="2">
        <v>45992</v>
      </c>
      <c r="C108" t="s">
        <v>244</v>
      </c>
      <c r="D108" t="s">
        <v>62</v>
      </c>
      <c r="E108" t="s">
        <v>16</v>
      </c>
      <c r="F108">
        <v>55</v>
      </c>
      <c r="G108" t="s">
        <v>63</v>
      </c>
      <c r="H108" t="s">
        <v>64</v>
      </c>
      <c r="I108" t="s">
        <v>79</v>
      </c>
      <c r="J108" t="s">
        <v>208</v>
      </c>
      <c r="K108">
        <v>4</v>
      </c>
      <c r="L108">
        <v>3000</v>
      </c>
      <c r="M108">
        <v>12000</v>
      </c>
      <c r="N108" t="str">
        <f t="shared" si="2"/>
        <v>Dec</v>
      </c>
      <c r="O108" t="str">
        <f t="shared" si="3"/>
        <v>45+</v>
      </c>
    </row>
    <row r="109" spans="1:15" x14ac:dyDescent="0.25">
      <c r="A109" t="s">
        <v>245</v>
      </c>
      <c r="B109" s="2">
        <v>45737</v>
      </c>
      <c r="C109" t="s">
        <v>224</v>
      </c>
      <c r="D109" t="s">
        <v>113</v>
      </c>
      <c r="E109" t="s">
        <v>16</v>
      </c>
      <c r="F109">
        <v>52</v>
      </c>
      <c r="G109" t="s">
        <v>25</v>
      </c>
      <c r="H109" t="s">
        <v>26</v>
      </c>
      <c r="I109" t="s">
        <v>79</v>
      </c>
      <c r="J109" t="s">
        <v>188</v>
      </c>
      <c r="K109">
        <v>4</v>
      </c>
      <c r="L109">
        <v>1800</v>
      </c>
      <c r="M109">
        <v>7200</v>
      </c>
      <c r="N109" t="str">
        <f t="shared" si="2"/>
        <v>Mar</v>
      </c>
      <c r="O109" t="str">
        <f t="shared" si="3"/>
        <v>45+</v>
      </c>
    </row>
    <row r="110" spans="1:15" x14ac:dyDescent="0.25">
      <c r="A110" t="s">
        <v>246</v>
      </c>
      <c r="B110" s="2">
        <v>45724</v>
      </c>
      <c r="C110" t="s">
        <v>247</v>
      </c>
      <c r="D110" t="s">
        <v>69</v>
      </c>
      <c r="E110" t="s">
        <v>24</v>
      </c>
      <c r="F110">
        <v>50</v>
      </c>
      <c r="G110" t="s">
        <v>25</v>
      </c>
      <c r="H110" t="s">
        <v>26</v>
      </c>
      <c r="I110" t="s">
        <v>30</v>
      </c>
      <c r="J110" t="s">
        <v>175</v>
      </c>
      <c r="K110">
        <v>5</v>
      </c>
      <c r="L110">
        <v>1800</v>
      </c>
      <c r="M110">
        <v>9000</v>
      </c>
      <c r="N110" t="str">
        <f t="shared" si="2"/>
        <v>Mar</v>
      </c>
      <c r="O110" t="str">
        <f t="shared" si="3"/>
        <v>45+</v>
      </c>
    </row>
    <row r="111" spans="1:15" x14ac:dyDescent="0.25">
      <c r="A111" t="s">
        <v>248</v>
      </c>
      <c r="B111" s="2">
        <v>45697</v>
      </c>
      <c r="C111" t="s">
        <v>42</v>
      </c>
      <c r="D111" t="s">
        <v>74</v>
      </c>
      <c r="E111" t="s">
        <v>16</v>
      </c>
      <c r="F111">
        <v>32</v>
      </c>
      <c r="G111" t="s">
        <v>48</v>
      </c>
      <c r="H111" t="s">
        <v>49</v>
      </c>
      <c r="I111" t="s">
        <v>39</v>
      </c>
      <c r="J111" t="s">
        <v>60</v>
      </c>
      <c r="K111">
        <v>5</v>
      </c>
      <c r="L111">
        <v>1500</v>
      </c>
      <c r="M111">
        <v>7500</v>
      </c>
      <c r="N111" t="str">
        <f t="shared" si="2"/>
        <v>Feb</v>
      </c>
      <c r="O111" t="str">
        <f t="shared" si="3"/>
        <v>25-34</v>
      </c>
    </row>
    <row r="112" spans="1:15" x14ac:dyDescent="0.25">
      <c r="A112" t="s">
        <v>249</v>
      </c>
      <c r="B112" s="2">
        <v>45831</v>
      </c>
      <c r="C112" t="s">
        <v>156</v>
      </c>
      <c r="D112" t="s">
        <v>78</v>
      </c>
      <c r="E112" t="s">
        <v>16</v>
      </c>
      <c r="F112">
        <v>33</v>
      </c>
      <c r="G112" t="s">
        <v>38</v>
      </c>
      <c r="H112" t="s">
        <v>26</v>
      </c>
      <c r="I112" t="s">
        <v>30</v>
      </c>
      <c r="J112" t="s">
        <v>175</v>
      </c>
      <c r="K112">
        <v>3</v>
      </c>
      <c r="L112">
        <v>1800</v>
      </c>
      <c r="M112">
        <v>5400</v>
      </c>
      <c r="N112" t="str">
        <f t="shared" si="2"/>
        <v>Jun</v>
      </c>
      <c r="O112" t="str">
        <f t="shared" si="3"/>
        <v>25-34</v>
      </c>
    </row>
    <row r="113" spans="1:15" x14ac:dyDescent="0.25">
      <c r="A113" t="s">
        <v>250</v>
      </c>
      <c r="B113" s="2">
        <v>45744</v>
      </c>
      <c r="C113" t="s">
        <v>150</v>
      </c>
      <c r="D113" t="s">
        <v>113</v>
      </c>
      <c r="E113" t="s">
        <v>16</v>
      </c>
      <c r="F113">
        <v>38</v>
      </c>
      <c r="G113" t="s">
        <v>25</v>
      </c>
      <c r="H113" t="s">
        <v>26</v>
      </c>
      <c r="I113" t="s">
        <v>30</v>
      </c>
      <c r="J113" t="s">
        <v>35</v>
      </c>
      <c r="K113">
        <v>3</v>
      </c>
      <c r="L113">
        <v>700</v>
      </c>
      <c r="M113">
        <v>2100</v>
      </c>
      <c r="N113" t="str">
        <f t="shared" si="2"/>
        <v>Mar</v>
      </c>
      <c r="O113" t="str">
        <f t="shared" si="3"/>
        <v>35-44</v>
      </c>
    </row>
    <row r="114" spans="1:15" x14ac:dyDescent="0.25">
      <c r="A114" t="s">
        <v>251</v>
      </c>
      <c r="B114" s="2">
        <v>45859</v>
      </c>
      <c r="C114" t="s">
        <v>218</v>
      </c>
      <c r="D114" t="s">
        <v>74</v>
      </c>
      <c r="E114" t="s">
        <v>16</v>
      </c>
      <c r="F114">
        <v>38</v>
      </c>
      <c r="G114" t="s">
        <v>70</v>
      </c>
      <c r="H114" t="s">
        <v>18</v>
      </c>
      <c r="I114" t="s">
        <v>65</v>
      </c>
      <c r="J114" t="s">
        <v>121</v>
      </c>
      <c r="K114">
        <v>5</v>
      </c>
      <c r="L114">
        <v>900</v>
      </c>
      <c r="M114">
        <v>4500</v>
      </c>
      <c r="N114" t="str">
        <f t="shared" si="2"/>
        <v>Jul</v>
      </c>
      <c r="O114" t="str">
        <f t="shared" si="3"/>
        <v>35-44</v>
      </c>
    </row>
    <row r="115" spans="1:15" x14ac:dyDescent="0.25">
      <c r="A115" t="s">
        <v>252</v>
      </c>
      <c r="B115" s="2">
        <v>45681</v>
      </c>
      <c r="C115" t="s">
        <v>224</v>
      </c>
      <c r="D115" t="s">
        <v>29</v>
      </c>
      <c r="E115" t="s">
        <v>24</v>
      </c>
      <c r="F115">
        <v>43</v>
      </c>
      <c r="G115" t="s">
        <v>48</v>
      </c>
      <c r="H115" t="s">
        <v>49</v>
      </c>
      <c r="I115" t="s">
        <v>79</v>
      </c>
      <c r="J115" t="s">
        <v>188</v>
      </c>
      <c r="K115">
        <v>1</v>
      </c>
      <c r="L115">
        <v>1800</v>
      </c>
      <c r="M115">
        <v>1800</v>
      </c>
      <c r="N115" t="str">
        <f t="shared" si="2"/>
        <v>Jan</v>
      </c>
      <c r="O115" t="str">
        <f t="shared" si="3"/>
        <v>35-44</v>
      </c>
    </row>
    <row r="116" spans="1:15" x14ac:dyDescent="0.25">
      <c r="A116" t="s">
        <v>253</v>
      </c>
      <c r="B116" s="2">
        <v>45970</v>
      </c>
      <c r="C116" t="s">
        <v>132</v>
      </c>
      <c r="D116" t="s">
        <v>56</v>
      </c>
      <c r="E116" t="s">
        <v>16</v>
      </c>
      <c r="F116">
        <v>39</v>
      </c>
      <c r="G116" t="s">
        <v>137</v>
      </c>
      <c r="H116" t="s">
        <v>137</v>
      </c>
      <c r="I116" t="s">
        <v>30</v>
      </c>
      <c r="J116" t="s">
        <v>35</v>
      </c>
      <c r="K116">
        <v>3</v>
      </c>
      <c r="L116">
        <v>700</v>
      </c>
      <c r="M116">
        <v>2100</v>
      </c>
      <c r="N116" t="str">
        <f t="shared" si="2"/>
        <v>Nov</v>
      </c>
      <c r="O116" t="str">
        <f t="shared" si="3"/>
        <v>35-44</v>
      </c>
    </row>
    <row r="117" spans="1:15" x14ac:dyDescent="0.25">
      <c r="A117" t="s">
        <v>254</v>
      </c>
      <c r="B117" s="2">
        <v>45697</v>
      </c>
      <c r="C117" t="s">
        <v>255</v>
      </c>
      <c r="D117" t="s">
        <v>56</v>
      </c>
      <c r="E117" t="s">
        <v>16</v>
      </c>
      <c r="F117">
        <v>28</v>
      </c>
      <c r="G117" t="s">
        <v>70</v>
      </c>
      <c r="H117" t="s">
        <v>18</v>
      </c>
      <c r="I117" t="s">
        <v>65</v>
      </c>
      <c r="J117" t="s">
        <v>146</v>
      </c>
      <c r="K117">
        <v>1</v>
      </c>
      <c r="L117">
        <v>300</v>
      </c>
      <c r="M117">
        <v>300</v>
      </c>
      <c r="N117" t="str">
        <f t="shared" si="2"/>
        <v>Feb</v>
      </c>
      <c r="O117" t="str">
        <f t="shared" si="3"/>
        <v>25-34</v>
      </c>
    </row>
    <row r="118" spans="1:15" x14ac:dyDescent="0.25">
      <c r="A118" t="s">
        <v>256</v>
      </c>
      <c r="B118" s="2">
        <v>45803</v>
      </c>
      <c r="C118" t="s">
        <v>257</v>
      </c>
      <c r="D118" t="s">
        <v>78</v>
      </c>
      <c r="E118" t="s">
        <v>16</v>
      </c>
      <c r="F118">
        <v>41</v>
      </c>
      <c r="G118" t="s">
        <v>38</v>
      </c>
      <c r="H118" t="s">
        <v>26</v>
      </c>
      <c r="I118" t="s">
        <v>19</v>
      </c>
      <c r="J118" t="s">
        <v>45</v>
      </c>
      <c r="K118">
        <v>1</v>
      </c>
      <c r="L118">
        <v>1500</v>
      </c>
      <c r="M118">
        <v>1500</v>
      </c>
      <c r="N118" t="str">
        <f t="shared" si="2"/>
        <v>May</v>
      </c>
      <c r="O118" t="str">
        <f t="shared" si="3"/>
        <v>35-44</v>
      </c>
    </row>
    <row r="119" spans="1:15" x14ac:dyDescent="0.25">
      <c r="A119" t="s">
        <v>258</v>
      </c>
      <c r="B119" s="2">
        <v>45897</v>
      </c>
      <c r="C119" t="s">
        <v>160</v>
      </c>
      <c r="D119" t="s">
        <v>113</v>
      </c>
      <c r="E119" t="s">
        <v>16</v>
      </c>
      <c r="F119">
        <v>26</v>
      </c>
      <c r="G119" t="s">
        <v>34</v>
      </c>
      <c r="H119" t="s">
        <v>18</v>
      </c>
      <c r="I119" t="s">
        <v>79</v>
      </c>
      <c r="J119" t="s">
        <v>208</v>
      </c>
      <c r="K119">
        <v>3</v>
      </c>
      <c r="L119">
        <v>3000</v>
      </c>
      <c r="M119">
        <v>9000</v>
      </c>
      <c r="N119" t="str">
        <f t="shared" si="2"/>
        <v>Aug</v>
      </c>
      <c r="O119" t="str">
        <f t="shared" si="3"/>
        <v>25-34</v>
      </c>
    </row>
    <row r="120" spans="1:15" x14ac:dyDescent="0.25">
      <c r="A120" t="s">
        <v>259</v>
      </c>
      <c r="B120" s="2">
        <v>45969</v>
      </c>
      <c r="C120" t="s">
        <v>218</v>
      </c>
      <c r="D120" t="s">
        <v>23</v>
      </c>
      <c r="E120" t="s">
        <v>24</v>
      </c>
      <c r="F120">
        <v>31</v>
      </c>
      <c r="G120" t="s">
        <v>34</v>
      </c>
      <c r="H120" t="s">
        <v>18</v>
      </c>
      <c r="I120" t="s">
        <v>30</v>
      </c>
      <c r="J120" t="s">
        <v>71</v>
      </c>
      <c r="K120">
        <v>1</v>
      </c>
      <c r="L120">
        <v>900</v>
      </c>
      <c r="M120">
        <v>900</v>
      </c>
      <c r="N120" t="str">
        <f t="shared" si="2"/>
        <v>Nov</v>
      </c>
      <c r="O120" t="str">
        <f t="shared" si="3"/>
        <v>25-34</v>
      </c>
    </row>
    <row r="121" spans="1:15" x14ac:dyDescent="0.25">
      <c r="A121" t="s">
        <v>260</v>
      </c>
      <c r="B121" s="2">
        <v>45822</v>
      </c>
      <c r="C121" t="s">
        <v>180</v>
      </c>
      <c r="D121" t="s">
        <v>69</v>
      </c>
      <c r="E121" t="s">
        <v>24</v>
      </c>
      <c r="F121">
        <v>33</v>
      </c>
      <c r="G121" t="s">
        <v>38</v>
      </c>
      <c r="H121" t="s">
        <v>26</v>
      </c>
      <c r="I121" t="s">
        <v>30</v>
      </c>
      <c r="J121" t="s">
        <v>175</v>
      </c>
      <c r="K121">
        <v>5</v>
      </c>
      <c r="L121">
        <v>1800</v>
      </c>
      <c r="M121">
        <v>9000</v>
      </c>
      <c r="N121" t="str">
        <f t="shared" si="2"/>
        <v>Jun</v>
      </c>
      <c r="O121" t="str">
        <f t="shared" si="3"/>
        <v>25-34</v>
      </c>
    </row>
    <row r="122" spans="1:15" x14ac:dyDescent="0.25">
      <c r="A122" t="s">
        <v>261</v>
      </c>
      <c r="B122" s="2">
        <v>45929</v>
      </c>
      <c r="C122" t="s">
        <v>82</v>
      </c>
      <c r="D122" t="s">
        <v>113</v>
      </c>
      <c r="E122" t="s">
        <v>16</v>
      </c>
      <c r="F122">
        <v>38</v>
      </c>
      <c r="G122" t="s">
        <v>63</v>
      </c>
      <c r="H122" t="s">
        <v>64</v>
      </c>
      <c r="I122" t="s">
        <v>39</v>
      </c>
      <c r="J122" t="s">
        <v>60</v>
      </c>
      <c r="K122">
        <v>2</v>
      </c>
      <c r="L122">
        <v>1500</v>
      </c>
      <c r="M122">
        <v>3000</v>
      </c>
      <c r="N122" t="str">
        <f t="shared" si="2"/>
        <v>Sep</v>
      </c>
      <c r="O122" t="str">
        <f t="shared" si="3"/>
        <v>35-44</v>
      </c>
    </row>
    <row r="123" spans="1:15" x14ac:dyDescent="0.25">
      <c r="A123" t="s">
        <v>262</v>
      </c>
      <c r="B123" s="2">
        <v>45878</v>
      </c>
      <c r="C123" t="s">
        <v>172</v>
      </c>
      <c r="D123" t="s">
        <v>113</v>
      </c>
      <c r="E123" t="s">
        <v>16</v>
      </c>
      <c r="F123">
        <v>31</v>
      </c>
      <c r="G123" t="s">
        <v>34</v>
      </c>
      <c r="H123" t="s">
        <v>18</v>
      </c>
      <c r="I123" t="s">
        <v>79</v>
      </c>
      <c r="J123" t="s">
        <v>114</v>
      </c>
      <c r="K123">
        <v>2</v>
      </c>
      <c r="L123">
        <v>2500</v>
      </c>
      <c r="M123">
        <v>5000</v>
      </c>
      <c r="N123" t="str">
        <f t="shared" si="2"/>
        <v>Aug</v>
      </c>
      <c r="O123" t="str">
        <f t="shared" si="3"/>
        <v>25-34</v>
      </c>
    </row>
    <row r="124" spans="1:15" x14ac:dyDescent="0.25">
      <c r="A124" t="s">
        <v>263</v>
      </c>
      <c r="B124" s="2">
        <v>45806</v>
      </c>
      <c r="C124" t="s">
        <v>264</v>
      </c>
      <c r="D124" t="s">
        <v>52</v>
      </c>
      <c r="E124" t="s">
        <v>24</v>
      </c>
      <c r="F124">
        <v>32</v>
      </c>
      <c r="G124" t="s">
        <v>38</v>
      </c>
      <c r="H124" t="s">
        <v>26</v>
      </c>
      <c r="I124" t="s">
        <v>65</v>
      </c>
      <c r="J124" t="s">
        <v>121</v>
      </c>
      <c r="K124">
        <v>3</v>
      </c>
      <c r="L124">
        <v>900</v>
      </c>
      <c r="M124">
        <v>2700</v>
      </c>
      <c r="N124" t="str">
        <f t="shared" si="2"/>
        <v>May</v>
      </c>
      <c r="O124" t="str">
        <f t="shared" si="3"/>
        <v>25-34</v>
      </c>
    </row>
    <row r="125" spans="1:15" x14ac:dyDescent="0.25">
      <c r="A125" t="s">
        <v>265</v>
      </c>
      <c r="B125" s="2">
        <v>45658</v>
      </c>
      <c r="C125" t="s">
        <v>103</v>
      </c>
      <c r="D125" t="s">
        <v>152</v>
      </c>
      <c r="E125" t="s">
        <v>16</v>
      </c>
      <c r="F125">
        <v>46</v>
      </c>
      <c r="G125" t="s">
        <v>38</v>
      </c>
      <c r="H125" t="s">
        <v>26</v>
      </c>
      <c r="I125" t="s">
        <v>19</v>
      </c>
      <c r="J125" t="s">
        <v>76</v>
      </c>
      <c r="K125">
        <v>3</v>
      </c>
      <c r="L125">
        <v>2500</v>
      </c>
      <c r="M125">
        <v>7500</v>
      </c>
      <c r="N125" t="str">
        <f t="shared" si="2"/>
        <v>Jan</v>
      </c>
      <c r="O125" t="str">
        <f t="shared" si="3"/>
        <v>45+</v>
      </c>
    </row>
    <row r="126" spans="1:15" x14ac:dyDescent="0.25">
      <c r="A126" t="s">
        <v>266</v>
      </c>
      <c r="B126" s="2">
        <v>45868</v>
      </c>
      <c r="C126" t="s">
        <v>267</v>
      </c>
      <c r="D126" t="s">
        <v>90</v>
      </c>
      <c r="E126" t="s">
        <v>24</v>
      </c>
      <c r="F126">
        <v>55</v>
      </c>
      <c r="G126" t="s">
        <v>70</v>
      </c>
      <c r="H126" t="s">
        <v>18</v>
      </c>
      <c r="I126" t="s">
        <v>39</v>
      </c>
      <c r="J126" t="s">
        <v>60</v>
      </c>
      <c r="K126">
        <v>3</v>
      </c>
      <c r="L126">
        <v>1500</v>
      </c>
      <c r="M126">
        <v>4500</v>
      </c>
      <c r="N126" t="str">
        <f t="shared" si="2"/>
        <v>Jul</v>
      </c>
      <c r="O126" t="str">
        <f t="shared" si="3"/>
        <v>45+</v>
      </c>
    </row>
    <row r="127" spans="1:15" x14ac:dyDescent="0.25">
      <c r="A127" t="s">
        <v>268</v>
      </c>
      <c r="B127" s="2">
        <v>45853</v>
      </c>
      <c r="C127" t="s">
        <v>132</v>
      </c>
      <c r="D127" t="s">
        <v>56</v>
      </c>
      <c r="E127" t="s">
        <v>16</v>
      </c>
      <c r="F127">
        <v>27</v>
      </c>
      <c r="G127" t="s">
        <v>34</v>
      </c>
      <c r="H127" t="s">
        <v>18</v>
      </c>
      <c r="I127" t="s">
        <v>39</v>
      </c>
      <c r="J127" t="s">
        <v>94</v>
      </c>
      <c r="K127">
        <v>3</v>
      </c>
      <c r="L127">
        <v>600</v>
      </c>
      <c r="M127">
        <v>1800</v>
      </c>
      <c r="N127" t="str">
        <f t="shared" si="2"/>
        <v>Jul</v>
      </c>
      <c r="O127" t="str">
        <f t="shared" si="3"/>
        <v>25-34</v>
      </c>
    </row>
    <row r="128" spans="1:15" x14ac:dyDescent="0.25">
      <c r="A128" t="s">
        <v>269</v>
      </c>
      <c r="B128" s="2">
        <v>45872</v>
      </c>
      <c r="C128" t="s">
        <v>22</v>
      </c>
      <c r="D128" t="s">
        <v>97</v>
      </c>
      <c r="E128" t="s">
        <v>24</v>
      </c>
      <c r="F128">
        <v>52</v>
      </c>
      <c r="G128" t="s">
        <v>75</v>
      </c>
      <c r="H128" t="s">
        <v>49</v>
      </c>
      <c r="I128" t="s">
        <v>79</v>
      </c>
      <c r="J128" t="s">
        <v>188</v>
      </c>
      <c r="K128">
        <v>3</v>
      </c>
      <c r="L128">
        <v>1800</v>
      </c>
      <c r="M128">
        <v>5400</v>
      </c>
      <c r="N128" t="str">
        <f t="shared" si="2"/>
        <v>Aug</v>
      </c>
      <c r="O128" t="str">
        <f t="shared" si="3"/>
        <v>45+</v>
      </c>
    </row>
    <row r="129" spans="1:15" x14ac:dyDescent="0.25">
      <c r="A129" t="s">
        <v>270</v>
      </c>
      <c r="B129" s="2">
        <v>45676</v>
      </c>
      <c r="C129" t="s">
        <v>271</v>
      </c>
      <c r="D129" t="s">
        <v>93</v>
      </c>
      <c r="E129" t="s">
        <v>24</v>
      </c>
      <c r="F129">
        <v>42</v>
      </c>
      <c r="G129" t="s">
        <v>75</v>
      </c>
      <c r="H129" t="s">
        <v>49</v>
      </c>
      <c r="I129" t="s">
        <v>30</v>
      </c>
      <c r="J129" t="s">
        <v>35</v>
      </c>
      <c r="K129">
        <v>2</v>
      </c>
      <c r="L129">
        <v>700</v>
      </c>
      <c r="M129">
        <v>1400</v>
      </c>
      <c r="N129" t="str">
        <f t="shared" si="2"/>
        <v>Jan</v>
      </c>
      <c r="O129" t="str">
        <f t="shared" si="3"/>
        <v>35-44</v>
      </c>
    </row>
    <row r="130" spans="1:15" x14ac:dyDescent="0.25">
      <c r="A130" t="s">
        <v>272</v>
      </c>
      <c r="B130" s="2">
        <v>45970</v>
      </c>
      <c r="C130" t="s">
        <v>273</v>
      </c>
      <c r="D130" t="s">
        <v>93</v>
      </c>
      <c r="E130" t="s">
        <v>24</v>
      </c>
      <c r="F130">
        <v>36</v>
      </c>
      <c r="G130" t="s">
        <v>75</v>
      </c>
      <c r="H130" t="s">
        <v>49</v>
      </c>
      <c r="I130" t="s">
        <v>65</v>
      </c>
      <c r="J130" t="s">
        <v>66</v>
      </c>
      <c r="K130">
        <v>1</v>
      </c>
      <c r="L130">
        <v>500</v>
      </c>
      <c r="M130">
        <v>500</v>
      </c>
      <c r="N130" t="str">
        <f t="shared" si="2"/>
        <v>Nov</v>
      </c>
      <c r="O130" t="str">
        <f t="shared" si="3"/>
        <v>35-44</v>
      </c>
    </row>
    <row r="131" spans="1:15" x14ac:dyDescent="0.25">
      <c r="A131" t="s">
        <v>274</v>
      </c>
      <c r="B131" s="2">
        <v>45923</v>
      </c>
      <c r="C131" t="s">
        <v>275</v>
      </c>
      <c r="D131" t="s">
        <v>97</v>
      </c>
      <c r="E131" t="s">
        <v>24</v>
      </c>
      <c r="F131">
        <v>24</v>
      </c>
      <c r="G131" t="s">
        <v>70</v>
      </c>
      <c r="H131" t="s">
        <v>18</v>
      </c>
      <c r="I131" t="s">
        <v>65</v>
      </c>
      <c r="J131" t="s">
        <v>125</v>
      </c>
      <c r="K131">
        <v>5</v>
      </c>
      <c r="L131">
        <v>700</v>
      </c>
      <c r="M131">
        <v>3500</v>
      </c>
      <c r="N131" t="str">
        <f t="shared" ref="N131:N194" si="4">TEXT(B131,"mmm")</f>
        <v>Sep</v>
      </c>
      <c r="O131" t="str">
        <f t="shared" si="3"/>
        <v>18-24</v>
      </c>
    </row>
    <row r="132" spans="1:15" x14ac:dyDescent="0.25">
      <c r="A132" t="s">
        <v>276</v>
      </c>
      <c r="B132" s="2">
        <v>45795</v>
      </c>
      <c r="C132" t="s">
        <v>172</v>
      </c>
      <c r="D132" t="s">
        <v>29</v>
      </c>
      <c r="E132" t="s">
        <v>24</v>
      </c>
      <c r="F132">
        <v>38</v>
      </c>
      <c r="G132" t="s">
        <v>34</v>
      </c>
      <c r="H132" t="s">
        <v>18</v>
      </c>
      <c r="I132" t="s">
        <v>79</v>
      </c>
      <c r="J132" t="s">
        <v>114</v>
      </c>
      <c r="K132">
        <v>2</v>
      </c>
      <c r="L132">
        <v>2500</v>
      </c>
      <c r="M132">
        <v>5000</v>
      </c>
      <c r="N132" t="str">
        <f t="shared" si="4"/>
        <v>May</v>
      </c>
      <c r="O132" t="str">
        <f t="shared" ref="O132:O195" si="5">IF(F132&lt;25,"18-24",IF(F132&lt;35,"25-34",IF(F132&lt;45,"35-44","45+")))</f>
        <v>35-44</v>
      </c>
    </row>
    <row r="133" spans="1:15" x14ac:dyDescent="0.25">
      <c r="A133" t="s">
        <v>277</v>
      </c>
      <c r="B133" s="2">
        <v>45972</v>
      </c>
      <c r="C133" t="s">
        <v>172</v>
      </c>
      <c r="D133" t="s">
        <v>113</v>
      </c>
      <c r="E133" t="s">
        <v>16</v>
      </c>
      <c r="F133">
        <v>47</v>
      </c>
      <c r="G133" t="s">
        <v>70</v>
      </c>
      <c r="H133" t="s">
        <v>18</v>
      </c>
      <c r="I133" t="s">
        <v>65</v>
      </c>
      <c r="J133" t="s">
        <v>125</v>
      </c>
      <c r="K133">
        <v>4</v>
      </c>
      <c r="L133">
        <v>700</v>
      </c>
      <c r="M133">
        <v>2800</v>
      </c>
      <c r="N133" t="str">
        <f t="shared" si="4"/>
        <v>Nov</v>
      </c>
      <c r="O133" t="str">
        <f t="shared" si="5"/>
        <v>45+</v>
      </c>
    </row>
    <row r="134" spans="1:15" x14ac:dyDescent="0.25">
      <c r="A134" t="s">
        <v>278</v>
      </c>
      <c r="B134" s="2">
        <v>45974</v>
      </c>
      <c r="C134" t="s">
        <v>73</v>
      </c>
      <c r="D134" t="s">
        <v>78</v>
      </c>
      <c r="E134" t="s">
        <v>16</v>
      </c>
      <c r="F134">
        <v>27</v>
      </c>
      <c r="G134" t="s">
        <v>25</v>
      </c>
      <c r="H134" t="s">
        <v>26</v>
      </c>
      <c r="I134" t="s">
        <v>65</v>
      </c>
      <c r="J134" t="s">
        <v>66</v>
      </c>
      <c r="K134">
        <v>1</v>
      </c>
      <c r="L134">
        <v>500</v>
      </c>
      <c r="M134">
        <v>500</v>
      </c>
      <c r="N134" t="str">
        <f t="shared" si="4"/>
        <v>Nov</v>
      </c>
      <c r="O134" t="str">
        <f t="shared" si="5"/>
        <v>25-34</v>
      </c>
    </row>
    <row r="135" spans="1:15" x14ac:dyDescent="0.25">
      <c r="A135" t="s">
        <v>279</v>
      </c>
      <c r="B135" s="2">
        <v>45681</v>
      </c>
      <c r="C135" t="s">
        <v>224</v>
      </c>
      <c r="D135" t="s">
        <v>106</v>
      </c>
      <c r="E135" t="s">
        <v>24</v>
      </c>
      <c r="F135">
        <v>26</v>
      </c>
      <c r="G135" t="s">
        <v>70</v>
      </c>
      <c r="H135" t="s">
        <v>18</v>
      </c>
      <c r="I135" t="s">
        <v>39</v>
      </c>
      <c r="J135" t="s">
        <v>53</v>
      </c>
      <c r="K135">
        <v>1</v>
      </c>
      <c r="L135">
        <v>800</v>
      </c>
      <c r="M135">
        <v>800</v>
      </c>
      <c r="N135" t="str">
        <f t="shared" si="4"/>
        <v>Jan</v>
      </c>
      <c r="O135" t="str">
        <f t="shared" si="5"/>
        <v>25-34</v>
      </c>
    </row>
    <row r="136" spans="1:15" x14ac:dyDescent="0.25">
      <c r="A136" t="s">
        <v>280</v>
      </c>
      <c r="B136" s="2">
        <v>45976</v>
      </c>
      <c r="C136" t="s">
        <v>264</v>
      </c>
      <c r="D136" t="s">
        <v>106</v>
      </c>
      <c r="E136" t="s">
        <v>24</v>
      </c>
      <c r="F136">
        <v>37</v>
      </c>
      <c r="G136" t="s">
        <v>34</v>
      </c>
      <c r="H136" t="s">
        <v>18</v>
      </c>
      <c r="I136" t="s">
        <v>19</v>
      </c>
      <c r="J136" t="s">
        <v>85</v>
      </c>
      <c r="K136">
        <v>1</v>
      </c>
      <c r="L136">
        <v>800</v>
      </c>
      <c r="M136">
        <v>800</v>
      </c>
      <c r="N136" t="str">
        <f t="shared" si="4"/>
        <v>Nov</v>
      </c>
      <c r="O136" t="str">
        <f t="shared" si="5"/>
        <v>35-44</v>
      </c>
    </row>
    <row r="137" spans="1:15" x14ac:dyDescent="0.25">
      <c r="A137" t="s">
        <v>281</v>
      </c>
      <c r="B137" s="2">
        <v>45792</v>
      </c>
      <c r="C137" t="s">
        <v>218</v>
      </c>
      <c r="D137" t="s">
        <v>93</v>
      </c>
      <c r="E137" t="s">
        <v>24</v>
      </c>
      <c r="F137">
        <v>39</v>
      </c>
      <c r="G137" t="s">
        <v>137</v>
      </c>
      <c r="H137" t="s">
        <v>137</v>
      </c>
      <c r="I137" t="s">
        <v>79</v>
      </c>
      <c r="J137" t="s">
        <v>114</v>
      </c>
      <c r="K137">
        <v>5</v>
      </c>
      <c r="L137">
        <v>2500</v>
      </c>
      <c r="M137">
        <v>12500</v>
      </c>
      <c r="N137" t="str">
        <f t="shared" si="4"/>
        <v>May</v>
      </c>
      <c r="O137" t="str">
        <f t="shared" si="5"/>
        <v>35-44</v>
      </c>
    </row>
    <row r="138" spans="1:15" x14ac:dyDescent="0.25">
      <c r="A138" t="s">
        <v>282</v>
      </c>
      <c r="B138" s="2">
        <v>45705</v>
      </c>
      <c r="C138" t="s">
        <v>283</v>
      </c>
      <c r="D138" t="s">
        <v>152</v>
      </c>
      <c r="E138" t="s">
        <v>16</v>
      </c>
      <c r="F138">
        <v>37</v>
      </c>
      <c r="G138" t="s">
        <v>38</v>
      </c>
      <c r="H138" t="s">
        <v>26</v>
      </c>
      <c r="I138" t="s">
        <v>19</v>
      </c>
      <c r="J138" t="s">
        <v>76</v>
      </c>
      <c r="K138">
        <v>5</v>
      </c>
      <c r="L138">
        <v>2500</v>
      </c>
      <c r="M138">
        <v>12500</v>
      </c>
      <c r="N138" t="str">
        <f t="shared" si="4"/>
        <v>Feb</v>
      </c>
      <c r="O138" t="str">
        <f t="shared" si="5"/>
        <v>35-44</v>
      </c>
    </row>
    <row r="139" spans="1:15" x14ac:dyDescent="0.25">
      <c r="A139" t="s">
        <v>284</v>
      </c>
      <c r="B139" s="2">
        <v>45677</v>
      </c>
      <c r="C139" t="s">
        <v>232</v>
      </c>
      <c r="D139" t="s">
        <v>118</v>
      </c>
      <c r="E139" t="s">
        <v>16</v>
      </c>
      <c r="F139">
        <v>40</v>
      </c>
      <c r="G139" t="s">
        <v>70</v>
      </c>
      <c r="H139" t="s">
        <v>18</v>
      </c>
      <c r="I139" t="s">
        <v>19</v>
      </c>
      <c r="J139" t="s">
        <v>76</v>
      </c>
      <c r="K139">
        <v>4</v>
      </c>
      <c r="L139">
        <v>2500</v>
      </c>
      <c r="M139">
        <v>10000</v>
      </c>
      <c r="N139" t="str">
        <f t="shared" si="4"/>
        <v>Jan</v>
      </c>
      <c r="O139" t="str">
        <f t="shared" si="5"/>
        <v>35-44</v>
      </c>
    </row>
    <row r="140" spans="1:15" x14ac:dyDescent="0.25">
      <c r="A140" t="s">
        <v>285</v>
      </c>
      <c r="B140" s="2">
        <v>45659</v>
      </c>
      <c r="C140" t="s">
        <v>286</v>
      </c>
      <c r="D140" t="s">
        <v>15</v>
      </c>
      <c r="E140" t="s">
        <v>16</v>
      </c>
      <c r="F140">
        <v>42</v>
      </c>
      <c r="G140" t="s">
        <v>137</v>
      </c>
      <c r="H140" t="s">
        <v>137</v>
      </c>
      <c r="I140" t="s">
        <v>65</v>
      </c>
      <c r="J140" t="s">
        <v>66</v>
      </c>
      <c r="K140">
        <v>3</v>
      </c>
      <c r="L140">
        <v>500</v>
      </c>
      <c r="M140">
        <v>1500</v>
      </c>
      <c r="N140" t="str">
        <f t="shared" si="4"/>
        <v>Jan</v>
      </c>
      <c r="O140" t="str">
        <f t="shared" si="5"/>
        <v>35-44</v>
      </c>
    </row>
    <row r="141" spans="1:15" x14ac:dyDescent="0.25">
      <c r="A141" t="s">
        <v>287</v>
      </c>
      <c r="B141" s="2">
        <v>45677</v>
      </c>
      <c r="C141" t="s">
        <v>96</v>
      </c>
      <c r="D141" t="s">
        <v>15</v>
      </c>
      <c r="E141" t="s">
        <v>16</v>
      </c>
      <c r="F141">
        <v>32</v>
      </c>
      <c r="G141" t="s">
        <v>17</v>
      </c>
      <c r="H141" t="s">
        <v>18</v>
      </c>
      <c r="I141" t="s">
        <v>79</v>
      </c>
      <c r="J141" t="s">
        <v>80</v>
      </c>
      <c r="K141">
        <v>3</v>
      </c>
      <c r="L141">
        <v>600</v>
      </c>
      <c r="M141">
        <v>1800</v>
      </c>
      <c r="N141" t="str">
        <f t="shared" si="4"/>
        <v>Jan</v>
      </c>
      <c r="O141" t="str">
        <f t="shared" si="5"/>
        <v>25-34</v>
      </c>
    </row>
    <row r="142" spans="1:15" x14ac:dyDescent="0.25">
      <c r="A142" t="s">
        <v>288</v>
      </c>
      <c r="B142" s="2">
        <v>45818</v>
      </c>
      <c r="C142" t="s">
        <v>286</v>
      </c>
      <c r="D142" t="s">
        <v>52</v>
      </c>
      <c r="E142" t="s">
        <v>24</v>
      </c>
      <c r="F142">
        <v>35</v>
      </c>
      <c r="G142" t="s">
        <v>25</v>
      </c>
      <c r="H142" t="s">
        <v>26</v>
      </c>
      <c r="I142" t="s">
        <v>19</v>
      </c>
      <c r="J142" t="s">
        <v>85</v>
      </c>
      <c r="K142">
        <v>2</v>
      </c>
      <c r="L142">
        <v>800</v>
      </c>
      <c r="M142">
        <v>1600</v>
      </c>
      <c r="N142" t="str">
        <f t="shared" si="4"/>
        <v>Jun</v>
      </c>
      <c r="O142" t="str">
        <f t="shared" si="5"/>
        <v>35-44</v>
      </c>
    </row>
    <row r="143" spans="1:15" x14ac:dyDescent="0.25">
      <c r="A143" t="s">
        <v>289</v>
      </c>
      <c r="B143" s="2">
        <v>45845</v>
      </c>
      <c r="C143" t="s">
        <v>290</v>
      </c>
      <c r="D143" t="s">
        <v>78</v>
      </c>
      <c r="E143" t="s">
        <v>16</v>
      </c>
      <c r="F143">
        <v>30</v>
      </c>
      <c r="G143" t="s">
        <v>63</v>
      </c>
      <c r="H143" t="s">
        <v>64</v>
      </c>
      <c r="I143" t="s">
        <v>65</v>
      </c>
      <c r="J143" t="s">
        <v>121</v>
      </c>
      <c r="K143">
        <v>4</v>
      </c>
      <c r="L143">
        <v>900</v>
      </c>
      <c r="M143">
        <v>3600</v>
      </c>
      <c r="N143" t="str">
        <f t="shared" si="4"/>
        <v>Jul</v>
      </c>
      <c r="O143" t="str">
        <f t="shared" si="5"/>
        <v>25-34</v>
      </c>
    </row>
    <row r="144" spans="1:15" x14ac:dyDescent="0.25">
      <c r="A144" t="s">
        <v>291</v>
      </c>
      <c r="B144" s="2">
        <v>45909</v>
      </c>
      <c r="C144" t="s">
        <v>136</v>
      </c>
      <c r="D144" t="s">
        <v>83</v>
      </c>
      <c r="E144" t="s">
        <v>16</v>
      </c>
      <c r="F144">
        <v>21</v>
      </c>
      <c r="G144" t="s">
        <v>17</v>
      </c>
      <c r="H144" t="s">
        <v>18</v>
      </c>
      <c r="I144" t="s">
        <v>19</v>
      </c>
      <c r="J144" t="s">
        <v>85</v>
      </c>
      <c r="K144">
        <v>3</v>
      </c>
      <c r="L144">
        <v>800</v>
      </c>
      <c r="M144">
        <v>2400</v>
      </c>
      <c r="N144" t="str">
        <f t="shared" si="4"/>
        <v>Sep</v>
      </c>
      <c r="O144" t="str">
        <f t="shared" si="5"/>
        <v>18-24</v>
      </c>
    </row>
    <row r="145" spans="1:15" x14ac:dyDescent="0.25">
      <c r="A145" t="s">
        <v>292</v>
      </c>
      <c r="B145" s="2">
        <v>45919</v>
      </c>
      <c r="C145" t="s">
        <v>201</v>
      </c>
      <c r="D145" t="s">
        <v>59</v>
      </c>
      <c r="E145" t="s">
        <v>24</v>
      </c>
      <c r="F145">
        <v>25</v>
      </c>
      <c r="G145" t="s">
        <v>43</v>
      </c>
      <c r="H145" t="s">
        <v>44</v>
      </c>
      <c r="I145" t="s">
        <v>19</v>
      </c>
      <c r="J145" t="s">
        <v>20</v>
      </c>
      <c r="K145">
        <v>2</v>
      </c>
      <c r="L145">
        <v>5000</v>
      </c>
      <c r="M145">
        <v>10000</v>
      </c>
      <c r="N145" t="str">
        <f t="shared" si="4"/>
        <v>Sep</v>
      </c>
      <c r="O145" t="str">
        <f t="shared" si="5"/>
        <v>25-34</v>
      </c>
    </row>
    <row r="146" spans="1:15" x14ac:dyDescent="0.25">
      <c r="A146" t="s">
        <v>293</v>
      </c>
      <c r="B146" s="2">
        <v>45692</v>
      </c>
      <c r="C146" t="s">
        <v>294</v>
      </c>
      <c r="D146" t="s">
        <v>69</v>
      </c>
      <c r="E146" t="s">
        <v>24</v>
      </c>
      <c r="F146">
        <v>36</v>
      </c>
      <c r="G146" t="s">
        <v>70</v>
      </c>
      <c r="H146" t="s">
        <v>18</v>
      </c>
      <c r="I146" t="s">
        <v>39</v>
      </c>
      <c r="J146" t="s">
        <v>53</v>
      </c>
      <c r="K146">
        <v>4</v>
      </c>
      <c r="L146">
        <v>800</v>
      </c>
      <c r="M146">
        <v>3200</v>
      </c>
      <c r="N146" t="str">
        <f t="shared" si="4"/>
        <v>Feb</v>
      </c>
      <c r="O146" t="str">
        <f t="shared" si="5"/>
        <v>35-44</v>
      </c>
    </row>
    <row r="147" spans="1:15" x14ac:dyDescent="0.25">
      <c r="A147" t="s">
        <v>295</v>
      </c>
      <c r="B147" s="2">
        <v>45831</v>
      </c>
      <c r="C147" t="s">
        <v>286</v>
      </c>
      <c r="D147" t="s">
        <v>62</v>
      </c>
      <c r="E147" t="s">
        <v>16</v>
      </c>
      <c r="F147">
        <v>22</v>
      </c>
      <c r="G147" t="s">
        <v>48</v>
      </c>
      <c r="H147" t="s">
        <v>49</v>
      </c>
      <c r="I147" t="s">
        <v>65</v>
      </c>
      <c r="J147" t="s">
        <v>125</v>
      </c>
      <c r="K147">
        <v>2</v>
      </c>
      <c r="L147">
        <v>700</v>
      </c>
      <c r="M147">
        <v>1400</v>
      </c>
      <c r="N147" t="str">
        <f t="shared" si="4"/>
        <v>Jun</v>
      </c>
      <c r="O147" t="str">
        <f t="shared" si="5"/>
        <v>18-24</v>
      </c>
    </row>
    <row r="148" spans="1:15" x14ac:dyDescent="0.25">
      <c r="A148" t="s">
        <v>296</v>
      </c>
      <c r="B148" s="2">
        <v>45680</v>
      </c>
      <c r="C148" t="s">
        <v>264</v>
      </c>
      <c r="D148" t="s">
        <v>29</v>
      </c>
      <c r="E148" t="s">
        <v>24</v>
      </c>
      <c r="F148">
        <v>24</v>
      </c>
      <c r="G148" t="s">
        <v>38</v>
      </c>
      <c r="H148" t="s">
        <v>26</v>
      </c>
      <c r="I148" t="s">
        <v>79</v>
      </c>
      <c r="J148" t="s">
        <v>208</v>
      </c>
      <c r="K148">
        <v>3</v>
      </c>
      <c r="L148">
        <v>3000</v>
      </c>
      <c r="M148">
        <v>9000</v>
      </c>
      <c r="N148" t="str">
        <f t="shared" si="4"/>
        <v>Jan</v>
      </c>
      <c r="O148" t="str">
        <f t="shared" si="5"/>
        <v>18-24</v>
      </c>
    </row>
    <row r="149" spans="1:15" x14ac:dyDescent="0.25">
      <c r="A149" t="s">
        <v>297</v>
      </c>
      <c r="B149" s="2">
        <v>45701</v>
      </c>
      <c r="C149" t="s">
        <v>224</v>
      </c>
      <c r="D149" t="s">
        <v>69</v>
      </c>
      <c r="E149" t="s">
        <v>24</v>
      </c>
      <c r="F149">
        <v>50</v>
      </c>
      <c r="G149" t="s">
        <v>17</v>
      </c>
      <c r="H149" t="s">
        <v>18</v>
      </c>
      <c r="I149" t="s">
        <v>65</v>
      </c>
      <c r="J149" t="s">
        <v>121</v>
      </c>
      <c r="K149">
        <v>5</v>
      </c>
      <c r="L149">
        <v>900</v>
      </c>
      <c r="M149">
        <v>4500</v>
      </c>
      <c r="N149" t="str">
        <f t="shared" si="4"/>
        <v>Feb</v>
      </c>
      <c r="O149" t="str">
        <f t="shared" si="5"/>
        <v>45+</v>
      </c>
    </row>
    <row r="150" spans="1:15" x14ac:dyDescent="0.25">
      <c r="A150" t="s">
        <v>298</v>
      </c>
      <c r="B150" s="2">
        <v>45704</v>
      </c>
      <c r="C150" t="s">
        <v>55</v>
      </c>
      <c r="D150" t="s">
        <v>59</v>
      </c>
      <c r="E150" t="s">
        <v>24</v>
      </c>
      <c r="F150">
        <v>33</v>
      </c>
      <c r="G150" t="s">
        <v>75</v>
      </c>
      <c r="H150" t="s">
        <v>49</v>
      </c>
      <c r="I150" t="s">
        <v>19</v>
      </c>
      <c r="J150" t="s">
        <v>20</v>
      </c>
      <c r="K150">
        <v>5</v>
      </c>
      <c r="L150">
        <v>5000</v>
      </c>
      <c r="M150">
        <v>25000</v>
      </c>
      <c r="N150" t="str">
        <f t="shared" si="4"/>
        <v>Feb</v>
      </c>
      <c r="O150" t="str">
        <f t="shared" si="5"/>
        <v>25-34</v>
      </c>
    </row>
    <row r="151" spans="1:15" x14ac:dyDescent="0.25">
      <c r="A151" t="s">
        <v>299</v>
      </c>
      <c r="B151" s="2">
        <v>45840</v>
      </c>
      <c r="C151" t="s">
        <v>300</v>
      </c>
      <c r="D151" t="s">
        <v>97</v>
      </c>
      <c r="E151" t="s">
        <v>24</v>
      </c>
      <c r="F151">
        <v>46</v>
      </c>
      <c r="G151" t="s">
        <v>25</v>
      </c>
      <c r="H151" t="s">
        <v>26</v>
      </c>
      <c r="I151" t="s">
        <v>79</v>
      </c>
      <c r="J151" t="s">
        <v>188</v>
      </c>
      <c r="K151">
        <v>2</v>
      </c>
      <c r="L151">
        <v>1800</v>
      </c>
      <c r="M151">
        <v>3600</v>
      </c>
      <c r="N151" t="str">
        <f t="shared" si="4"/>
        <v>Jul</v>
      </c>
      <c r="O151" t="str">
        <f t="shared" si="5"/>
        <v>45+</v>
      </c>
    </row>
    <row r="152" spans="1:15" x14ac:dyDescent="0.25">
      <c r="A152" t="s">
        <v>301</v>
      </c>
      <c r="B152" s="2">
        <v>45752</v>
      </c>
      <c r="C152" t="s">
        <v>241</v>
      </c>
      <c r="D152" t="s">
        <v>23</v>
      </c>
      <c r="E152" t="s">
        <v>24</v>
      </c>
      <c r="F152">
        <v>26</v>
      </c>
      <c r="G152" t="s">
        <v>63</v>
      </c>
      <c r="H152" t="s">
        <v>64</v>
      </c>
      <c r="I152" t="s">
        <v>19</v>
      </c>
      <c r="J152" t="s">
        <v>85</v>
      </c>
      <c r="K152">
        <v>1</v>
      </c>
      <c r="L152">
        <v>800</v>
      </c>
      <c r="M152">
        <v>800</v>
      </c>
      <c r="N152" t="str">
        <f t="shared" si="4"/>
        <v>Apr</v>
      </c>
      <c r="O152" t="str">
        <f t="shared" si="5"/>
        <v>25-34</v>
      </c>
    </row>
    <row r="153" spans="1:15" x14ac:dyDescent="0.25">
      <c r="A153" t="s">
        <v>302</v>
      </c>
      <c r="B153" s="2">
        <v>45756</v>
      </c>
      <c r="C153" t="s">
        <v>180</v>
      </c>
      <c r="D153" t="s">
        <v>90</v>
      </c>
      <c r="E153" t="s">
        <v>24</v>
      </c>
      <c r="F153">
        <v>21</v>
      </c>
      <c r="G153" t="s">
        <v>17</v>
      </c>
      <c r="H153" t="s">
        <v>18</v>
      </c>
      <c r="I153" t="s">
        <v>19</v>
      </c>
      <c r="J153" t="s">
        <v>85</v>
      </c>
      <c r="K153">
        <v>1</v>
      </c>
      <c r="L153">
        <v>800</v>
      </c>
      <c r="M153">
        <v>800</v>
      </c>
      <c r="N153" t="str">
        <f t="shared" si="4"/>
        <v>Apr</v>
      </c>
      <c r="O153" t="str">
        <f t="shared" si="5"/>
        <v>18-24</v>
      </c>
    </row>
    <row r="154" spans="1:15" x14ac:dyDescent="0.25">
      <c r="A154" t="s">
        <v>303</v>
      </c>
      <c r="B154" s="2">
        <v>45920</v>
      </c>
      <c r="C154" t="s">
        <v>100</v>
      </c>
      <c r="D154" t="s">
        <v>78</v>
      </c>
      <c r="E154" t="s">
        <v>16</v>
      </c>
      <c r="F154">
        <v>29</v>
      </c>
      <c r="G154" t="s">
        <v>63</v>
      </c>
      <c r="H154" t="s">
        <v>64</v>
      </c>
      <c r="I154" t="s">
        <v>39</v>
      </c>
      <c r="J154" t="s">
        <v>94</v>
      </c>
      <c r="K154">
        <v>1</v>
      </c>
      <c r="L154">
        <v>600</v>
      </c>
      <c r="M154">
        <v>600</v>
      </c>
      <c r="N154" t="str">
        <f t="shared" si="4"/>
        <v>Sep</v>
      </c>
      <c r="O154" t="str">
        <f t="shared" si="5"/>
        <v>25-34</v>
      </c>
    </row>
    <row r="155" spans="1:15" x14ac:dyDescent="0.25">
      <c r="A155" t="s">
        <v>304</v>
      </c>
      <c r="B155" s="2">
        <v>45712</v>
      </c>
      <c r="C155" t="s">
        <v>96</v>
      </c>
      <c r="D155" t="s">
        <v>23</v>
      </c>
      <c r="E155" t="s">
        <v>24</v>
      </c>
      <c r="F155">
        <v>38</v>
      </c>
      <c r="G155" t="s">
        <v>34</v>
      </c>
      <c r="H155" t="s">
        <v>18</v>
      </c>
      <c r="I155" t="s">
        <v>30</v>
      </c>
      <c r="J155" t="s">
        <v>31</v>
      </c>
      <c r="K155">
        <v>4</v>
      </c>
      <c r="L155">
        <v>1200</v>
      </c>
      <c r="M155">
        <v>4800</v>
      </c>
      <c r="N155" t="str">
        <f t="shared" si="4"/>
        <v>Feb</v>
      </c>
      <c r="O155" t="str">
        <f t="shared" si="5"/>
        <v>35-44</v>
      </c>
    </row>
    <row r="156" spans="1:15" x14ac:dyDescent="0.25">
      <c r="A156" t="s">
        <v>305</v>
      </c>
      <c r="B156" s="2">
        <v>45708</v>
      </c>
      <c r="C156" t="s">
        <v>87</v>
      </c>
      <c r="D156" t="s">
        <v>93</v>
      </c>
      <c r="E156" t="s">
        <v>24</v>
      </c>
      <c r="F156">
        <v>28</v>
      </c>
      <c r="G156" t="s">
        <v>17</v>
      </c>
      <c r="H156" t="s">
        <v>18</v>
      </c>
      <c r="I156" t="s">
        <v>79</v>
      </c>
      <c r="J156" t="s">
        <v>80</v>
      </c>
      <c r="K156">
        <v>1</v>
      </c>
      <c r="L156">
        <v>600</v>
      </c>
      <c r="M156">
        <v>600</v>
      </c>
      <c r="N156" t="str">
        <f t="shared" si="4"/>
        <v>Feb</v>
      </c>
      <c r="O156" t="str">
        <f t="shared" si="5"/>
        <v>25-34</v>
      </c>
    </row>
    <row r="157" spans="1:15" x14ac:dyDescent="0.25">
      <c r="A157" t="s">
        <v>306</v>
      </c>
      <c r="B157" s="2">
        <v>46015</v>
      </c>
      <c r="C157" t="s">
        <v>283</v>
      </c>
      <c r="D157" t="s">
        <v>90</v>
      </c>
      <c r="E157" t="s">
        <v>24</v>
      </c>
      <c r="F157">
        <v>41</v>
      </c>
      <c r="G157" t="s">
        <v>38</v>
      </c>
      <c r="H157" t="s">
        <v>26</v>
      </c>
      <c r="I157" t="s">
        <v>30</v>
      </c>
      <c r="J157" t="s">
        <v>71</v>
      </c>
      <c r="K157">
        <v>1</v>
      </c>
      <c r="L157">
        <v>900</v>
      </c>
      <c r="M157">
        <v>900</v>
      </c>
      <c r="N157" t="str">
        <f t="shared" si="4"/>
        <v>Dec</v>
      </c>
      <c r="O157" t="str">
        <f t="shared" si="5"/>
        <v>35-44</v>
      </c>
    </row>
    <row r="158" spans="1:15" x14ac:dyDescent="0.25">
      <c r="A158" t="s">
        <v>307</v>
      </c>
      <c r="B158" s="2">
        <v>45808</v>
      </c>
      <c r="C158" t="s">
        <v>308</v>
      </c>
      <c r="D158" t="s">
        <v>56</v>
      </c>
      <c r="E158" t="s">
        <v>16</v>
      </c>
      <c r="F158">
        <v>54</v>
      </c>
      <c r="G158" t="s">
        <v>43</v>
      </c>
      <c r="H158" t="s">
        <v>44</v>
      </c>
      <c r="I158" t="s">
        <v>30</v>
      </c>
      <c r="J158" t="s">
        <v>71</v>
      </c>
      <c r="K158">
        <v>4</v>
      </c>
      <c r="L158">
        <v>900</v>
      </c>
      <c r="M158">
        <v>3600</v>
      </c>
      <c r="N158" t="str">
        <f t="shared" si="4"/>
        <v>May</v>
      </c>
      <c r="O158" t="str">
        <f t="shared" si="5"/>
        <v>45+</v>
      </c>
    </row>
    <row r="159" spans="1:15" x14ac:dyDescent="0.25">
      <c r="A159" t="s">
        <v>309</v>
      </c>
      <c r="B159" s="2">
        <v>45889</v>
      </c>
      <c r="C159" t="s">
        <v>160</v>
      </c>
      <c r="D159" t="s">
        <v>23</v>
      </c>
      <c r="E159" t="s">
        <v>24</v>
      </c>
      <c r="F159">
        <v>31</v>
      </c>
      <c r="G159" t="s">
        <v>137</v>
      </c>
      <c r="H159" t="s">
        <v>137</v>
      </c>
      <c r="I159" t="s">
        <v>19</v>
      </c>
      <c r="J159" t="s">
        <v>45</v>
      </c>
      <c r="K159">
        <v>5</v>
      </c>
      <c r="L159">
        <v>1500</v>
      </c>
      <c r="M159">
        <v>7500</v>
      </c>
      <c r="N159" t="str">
        <f t="shared" si="4"/>
        <v>Aug</v>
      </c>
      <c r="O159" t="str">
        <f t="shared" si="5"/>
        <v>25-34</v>
      </c>
    </row>
    <row r="160" spans="1:15" x14ac:dyDescent="0.25">
      <c r="A160" t="s">
        <v>310</v>
      </c>
      <c r="B160" s="2">
        <v>45910</v>
      </c>
      <c r="C160" t="s">
        <v>311</v>
      </c>
      <c r="D160" t="s">
        <v>23</v>
      </c>
      <c r="E160" t="s">
        <v>24</v>
      </c>
      <c r="F160">
        <v>31</v>
      </c>
      <c r="G160" t="s">
        <v>63</v>
      </c>
      <c r="H160" t="s">
        <v>64</v>
      </c>
      <c r="I160" t="s">
        <v>39</v>
      </c>
      <c r="J160" t="s">
        <v>40</v>
      </c>
      <c r="K160">
        <v>1</v>
      </c>
      <c r="L160">
        <v>350</v>
      </c>
      <c r="M160">
        <v>350</v>
      </c>
      <c r="N160" t="str">
        <f t="shared" si="4"/>
        <v>Sep</v>
      </c>
      <c r="O160" t="str">
        <f t="shared" si="5"/>
        <v>25-34</v>
      </c>
    </row>
    <row r="161" spans="1:15" x14ac:dyDescent="0.25">
      <c r="A161" t="s">
        <v>312</v>
      </c>
      <c r="B161" s="2">
        <v>45690</v>
      </c>
      <c r="C161" t="s">
        <v>313</v>
      </c>
      <c r="D161" t="s">
        <v>78</v>
      </c>
      <c r="E161" t="s">
        <v>16</v>
      </c>
      <c r="F161">
        <v>40</v>
      </c>
      <c r="G161" t="s">
        <v>25</v>
      </c>
      <c r="H161" t="s">
        <v>26</v>
      </c>
      <c r="I161" t="s">
        <v>39</v>
      </c>
      <c r="J161" t="s">
        <v>53</v>
      </c>
      <c r="K161">
        <v>4</v>
      </c>
      <c r="L161">
        <v>800</v>
      </c>
      <c r="M161">
        <v>3200</v>
      </c>
      <c r="N161" t="str">
        <f t="shared" si="4"/>
        <v>Feb</v>
      </c>
      <c r="O161" t="str">
        <f t="shared" si="5"/>
        <v>35-44</v>
      </c>
    </row>
    <row r="162" spans="1:15" x14ac:dyDescent="0.25">
      <c r="A162" t="s">
        <v>314</v>
      </c>
      <c r="B162" s="2">
        <v>45929</v>
      </c>
      <c r="C162" t="s">
        <v>100</v>
      </c>
      <c r="D162" t="s">
        <v>29</v>
      </c>
      <c r="E162" t="s">
        <v>24</v>
      </c>
      <c r="F162">
        <v>19</v>
      </c>
      <c r="G162" t="s">
        <v>34</v>
      </c>
      <c r="H162" t="s">
        <v>18</v>
      </c>
      <c r="I162" t="s">
        <v>39</v>
      </c>
      <c r="J162" t="s">
        <v>40</v>
      </c>
      <c r="K162">
        <v>2</v>
      </c>
      <c r="L162">
        <v>350</v>
      </c>
      <c r="M162">
        <v>700</v>
      </c>
      <c r="N162" t="str">
        <f t="shared" si="4"/>
        <v>Sep</v>
      </c>
      <c r="O162" t="str">
        <f t="shared" si="5"/>
        <v>18-24</v>
      </c>
    </row>
    <row r="163" spans="1:15" x14ac:dyDescent="0.25">
      <c r="A163" t="s">
        <v>315</v>
      </c>
      <c r="B163" s="2">
        <v>45899</v>
      </c>
      <c r="C163" t="s">
        <v>92</v>
      </c>
      <c r="D163" t="s">
        <v>101</v>
      </c>
      <c r="E163" t="s">
        <v>16</v>
      </c>
      <c r="F163">
        <v>24</v>
      </c>
      <c r="G163" t="s">
        <v>70</v>
      </c>
      <c r="H163" t="s">
        <v>18</v>
      </c>
      <c r="I163" t="s">
        <v>65</v>
      </c>
      <c r="J163" t="s">
        <v>125</v>
      </c>
      <c r="K163">
        <v>2</v>
      </c>
      <c r="L163">
        <v>700</v>
      </c>
      <c r="M163">
        <v>1400</v>
      </c>
      <c r="N163" t="str">
        <f t="shared" si="4"/>
        <v>Aug</v>
      </c>
      <c r="O163" t="str">
        <f t="shared" si="5"/>
        <v>18-24</v>
      </c>
    </row>
    <row r="164" spans="1:15" x14ac:dyDescent="0.25">
      <c r="A164" t="s">
        <v>316</v>
      </c>
      <c r="B164" s="2">
        <v>45825</v>
      </c>
      <c r="C164" t="s">
        <v>58</v>
      </c>
      <c r="D164" t="s">
        <v>23</v>
      </c>
      <c r="E164" t="s">
        <v>24</v>
      </c>
      <c r="F164">
        <v>35</v>
      </c>
      <c r="G164" t="s">
        <v>63</v>
      </c>
      <c r="H164" t="s">
        <v>64</v>
      </c>
      <c r="I164" t="s">
        <v>65</v>
      </c>
      <c r="J164" t="s">
        <v>146</v>
      </c>
      <c r="K164">
        <v>1</v>
      </c>
      <c r="L164">
        <v>300</v>
      </c>
      <c r="M164">
        <v>300</v>
      </c>
      <c r="N164" t="str">
        <f t="shared" si="4"/>
        <v>Jun</v>
      </c>
      <c r="O164" t="str">
        <f t="shared" si="5"/>
        <v>35-44</v>
      </c>
    </row>
    <row r="165" spans="1:15" x14ac:dyDescent="0.25">
      <c r="A165" t="s">
        <v>317</v>
      </c>
      <c r="B165" s="2">
        <v>45913</v>
      </c>
      <c r="C165" t="s">
        <v>308</v>
      </c>
      <c r="D165" t="s">
        <v>152</v>
      </c>
      <c r="E165" t="s">
        <v>16</v>
      </c>
      <c r="F165">
        <v>38</v>
      </c>
      <c r="G165" t="s">
        <v>48</v>
      </c>
      <c r="H165" t="s">
        <v>49</v>
      </c>
      <c r="I165" t="s">
        <v>30</v>
      </c>
      <c r="J165" t="s">
        <v>31</v>
      </c>
      <c r="K165">
        <v>1</v>
      </c>
      <c r="L165">
        <v>1200</v>
      </c>
      <c r="M165">
        <v>1200</v>
      </c>
      <c r="N165" t="str">
        <f t="shared" si="4"/>
        <v>Sep</v>
      </c>
      <c r="O165" t="str">
        <f t="shared" si="5"/>
        <v>35-44</v>
      </c>
    </row>
    <row r="166" spans="1:15" x14ac:dyDescent="0.25">
      <c r="A166" t="s">
        <v>318</v>
      </c>
      <c r="B166" s="2">
        <v>46009</v>
      </c>
      <c r="C166" t="s">
        <v>319</v>
      </c>
      <c r="D166" t="s">
        <v>59</v>
      </c>
      <c r="E166" t="s">
        <v>24</v>
      </c>
      <c r="F166">
        <v>18</v>
      </c>
      <c r="G166" t="s">
        <v>38</v>
      </c>
      <c r="H166" t="s">
        <v>26</v>
      </c>
      <c r="I166" t="s">
        <v>19</v>
      </c>
      <c r="J166" t="s">
        <v>45</v>
      </c>
      <c r="K166">
        <v>3</v>
      </c>
      <c r="L166">
        <v>1500</v>
      </c>
      <c r="M166">
        <v>4500</v>
      </c>
      <c r="N166" t="str">
        <f t="shared" si="4"/>
        <v>Dec</v>
      </c>
      <c r="O166" t="str">
        <f t="shared" si="5"/>
        <v>18-24</v>
      </c>
    </row>
    <row r="167" spans="1:15" x14ac:dyDescent="0.25">
      <c r="A167" t="s">
        <v>320</v>
      </c>
      <c r="B167" s="2">
        <v>45725</v>
      </c>
      <c r="C167" t="s">
        <v>87</v>
      </c>
      <c r="D167" t="s">
        <v>59</v>
      </c>
      <c r="E167" t="s">
        <v>24</v>
      </c>
      <c r="F167">
        <v>43</v>
      </c>
      <c r="G167" t="s">
        <v>48</v>
      </c>
      <c r="H167" t="s">
        <v>49</v>
      </c>
      <c r="I167" t="s">
        <v>65</v>
      </c>
      <c r="J167" t="s">
        <v>66</v>
      </c>
      <c r="K167">
        <v>3</v>
      </c>
      <c r="L167">
        <v>500</v>
      </c>
      <c r="M167">
        <v>1500</v>
      </c>
      <c r="N167" t="str">
        <f t="shared" si="4"/>
        <v>Mar</v>
      </c>
      <c r="O167" t="str">
        <f t="shared" si="5"/>
        <v>35-44</v>
      </c>
    </row>
    <row r="168" spans="1:15" x14ac:dyDescent="0.25">
      <c r="A168" t="s">
        <v>321</v>
      </c>
      <c r="B168" s="2">
        <v>45915</v>
      </c>
      <c r="C168" t="s">
        <v>322</v>
      </c>
      <c r="D168" t="s">
        <v>62</v>
      </c>
      <c r="E168" t="s">
        <v>16</v>
      </c>
      <c r="F168">
        <v>30</v>
      </c>
      <c r="G168" t="s">
        <v>38</v>
      </c>
      <c r="H168" t="s">
        <v>26</v>
      </c>
      <c r="I168" t="s">
        <v>19</v>
      </c>
      <c r="J168" t="s">
        <v>45</v>
      </c>
      <c r="K168">
        <v>2</v>
      </c>
      <c r="L168">
        <v>1500</v>
      </c>
      <c r="M168">
        <v>3000</v>
      </c>
      <c r="N168" t="str">
        <f t="shared" si="4"/>
        <v>Sep</v>
      </c>
      <c r="O168" t="str">
        <f t="shared" si="5"/>
        <v>25-34</v>
      </c>
    </row>
    <row r="169" spans="1:15" x14ac:dyDescent="0.25">
      <c r="A169" t="s">
        <v>323</v>
      </c>
      <c r="B169" s="2">
        <v>45984</v>
      </c>
      <c r="C169" t="s">
        <v>324</v>
      </c>
      <c r="D169" t="s">
        <v>113</v>
      </c>
      <c r="E169" t="s">
        <v>16</v>
      </c>
      <c r="F169">
        <v>23</v>
      </c>
      <c r="G169" t="s">
        <v>25</v>
      </c>
      <c r="H169" t="s">
        <v>26</v>
      </c>
      <c r="I169" t="s">
        <v>19</v>
      </c>
      <c r="J169" t="s">
        <v>20</v>
      </c>
      <c r="K169">
        <v>5</v>
      </c>
      <c r="L169">
        <v>5000</v>
      </c>
      <c r="M169">
        <v>25000</v>
      </c>
      <c r="N169" t="str">
        <f t="shared" si="4"/>
        <v>Nov</v>
      </c>
      <c r="O169" t="str">
        <f t="shared" si="5"/>
        <v>18-24</v>
      </c>
    </row>
    <row r="170" spans="1:15" x14ac:dyDescent="0.25">
      <c r="A170" t="s">
        <v>325</v>
      </c>
      <c r="B170" s="2">
        <v>45985</v>
      </c>
      <c r="C170" t="s">
        <v>103</v>
      </c>
      <c r="D170" t="s">
        <v>78</v>
      </c>
      <c r="E170" t="s">
        <v>16</v>
      </c>
      <c r="F170">
        <v>30</v>
      </c>
      <c r="G170" t="s">
        <v>43</v>
      </c>
      <c r="H170" t="s">
        <v>44</v>
      </c>
      <c r="I170" t="s">
        <v>65</v>
      </c>
      <c r="J170" t="s">
        <v>125</v>
      </c>
      <c r="K170">
        <v>3</v>
      </c>
      <c r="L170">
        <v>700</v>
      </c>
      <c r="M170">
        <v>2100</v>
      </c>
      <c r="N170" t="str">
        <f t="shared" si="4"/>
        <v>Nov</v>
      </c>
      <c r="O170" t="str">
        <f t="shared" si="5"/>
        <v>25-34</v>
      </c>
    </row>
    <row r="171" spans="1:15" x14ac:dyDescent="0.25">
      <c r="A171" t="s">
        <v>326</v>
      </c>
      <c r="B171" s="2">
        <v>46016</v>
      </c>
      <c r="C171" t="s">
        <v>322</v>
      </c>
      <c r="D171" t="s">
        <v>90</v>
      </c>
      <c r="E171" t="s">
        <v>24</v>
      </c>
      <c r="F171">
        <v>46</v>
      </c>
      <c r="G171" t="s">
        <v>25</v>
      </c>
      <c r="H171" t="s">
        <v>26</v>
      </c>
      <c r="I171" t="s">
        <v>19</v>
      </c>
      <c r="J171" t="s">
        <v>76</v>
      </c>
      <c r="K171">
        <v>4</v>
      </c>
      <c r="L171">
        <v>2500</v>
      </c>
      <c r="M171">
        <v>10000</v>
      </c>
      <c r="N171" t="str">
        <f t="shared" si="4"/>
        <v>Dec</v>
      </c>
      <c r="O171" t="str">
        <f t="shared" si="5"/>
        <v>45+</v>
      </c>
    </row>
    <row r="172" spans="1:15" x14ac:dyDescent="0.25">
      <c r="A172" t="s">
        <v>327</v>
      </c>
      <c r="B172" s="2">
        <v>45852</v>
      </c>
      <c r="C172" t="s">
        <v>156</v>
      </c>
      <c r="D172" t="s">
        <v>113</v>
      </c>
      <c r="E172" t="s">
        <v>16</v>
      </c>
      <c r="F172">
        <v>33</v>
      </c>
      <c r="G172" t="s">
        <v>43</v>
      </c>
      <c r="H172" t="s">
        <v>44</v>
      </c>
      <c r="I172" t="s">
        <v>19</v>
      </c>
      <c r="J172" t="s">
        <v>20</v>
      </c>
      <c r="K172">
        <v>2</v>
      </c>
      <c r="L172">
        <v>5000</v>
      </c>
      <c r="M172">
        <v>10000</v>
      </c>
      <c r="N172" t="str">
        <f t="shared" si="4"/>
        <v>Jul</v>
      </c>
      <c r="O172" t="str">
        <f t="shared" si="5"/>
        <v>25-34</v>
      </c>
    </row>
    <row r="173" spans="1:15" x14ac:dyDescent="0.25">
      <c r="A173" t="s">
        <v>328</v>
      </c>
      <c r="B173" s="2">
        <v>45841</v>
      </c>
      <c r="C173" t="s">
        <v>82</v>
      </c>
      <c r="D173" t="s">
        <v>90</v>
      </c>
      <c r="E173" t="s">
        <v>24</v>
      </c>
      <c r="F173">
        <v>19</v>
      </c>
      <c r="G173" t="s">
        <v>34</v>
      </c>
      <c r="H173" t="s">
        <v>18</v>
      </c>
      <c r="I173" t="s">
        <v>79</v>
      </c>
      <c r="J173" t="s">
        <v>208</v>
      </c>
      <c r="K173">
        <v>3</v>
      </c>
      <c r="L173">
        <v>3000</v>
      </c>
      <c r="M173">
        <v>9000</v>
      </c>
      <c r="N173" t="str">
        <f t="shared" si="4"/>
        <v>Jul</v>
      </c>
      <c r="O173" t="str">
        <f t="shared" si="5"/>
        <v>18-24</v>
      </c>
    </row>
    <row r="174" spans="1:15" x14ac:dyDescent="0.25">
      <c r="A174" t="s">
        <v>329</v>
      </c>
      <c r="B174" s="2">
        <v>45990</v>
      </c>
      <c r="C174" t="s">
        <v>14</v>
      </c>
      <c r="D174" t="s">
        <v>78</v>
      </c>
      <c r="E174" t="s">
        <v>16</v>
      </c>
      <c r="F174">
        <v>43</v>
      </c>
      <c r="G174" t="s">
        <v>137</v>
      </c>
      <c r="H174" t="s">
        <v>137</v>
      </c>
      <c r="I174" t="s">
        <v>30</v>
      </c>
      <c r="J174" t="s">
        <v>175</v>
      </c>
      <c r="K174">
        <v>4</v>
      </c>
      <c r="L174">
        <v>1800</v>
      </c>
      <c r="M174">
        <v>7200</v>
      </c>
      <c r="N174" t="str">
        <f t="shared" si="4"/>
        <v>Nov</v>
      </c>
      <c r="O174" t="str">
        <f t="shared" si="5"/>
        <v>35-44</v>
      </c>
    </row>
    <row r="175" spans="1:15" x14ac:dyDescent="0.25">
      <c r="A175" t="s">
        <v>330</v>
      </c>
      <c r="B175" s="2">
        <v>45968</v>
      </c>
      <c r="C175" t="s">
        <v>331</v>
      </c>
      <c r="D175" t="s">
        <v>90</v>
      </c>
      <c r="E175" t="s">
        <v>24</v>
      </c>
      <c r="F175">
        <v>42</v>
      </c>
      <c r="G175" t="s">
        <v>34</v>
      </c>
      <c r="H175" t="s">
        <v>18</v>
      </c>
      <c r="I175" t="s">
        <v>79</v>
      </c>
      <c r="J175" t="s">
        <v>188</v>
      </c>
      <c r="K175">
        <v>3</v>
      </c>
      <c r="L175">
        <v>1800</v>
      </c>
      <c r="M175">
        <v>5400</v>
      </c>
      <c r="N175" t="str">
        <f t="shared" si="4"/>
        <v>Nov</v>
      </c>
      <c r="O175" t="str">
        <f t="shared" si="5"/>
        <v>35-44</v>
      </c>
    </row>
    <row r="176" spans="1:15" x14ac:dyDescent="0.25">
      <c r="A176" t="s">
        <v>332</v>
      </c>
      <c r="B176" s="2">
        <v>45788</v>
      </c>
      <c r="C176" t="s">
        <v>47</v>
      </c>
      <c r="D176" t="s">
        <v>59</v>
      </c>
      <c r="E176" t="s">
        <v>24</v>
      </c>
      <c r="F176">
        <v>40</v>
      </c>
      <c r="G176" t="s">
        <v>75</v>
      </c>
      <c r="H176" t="s">
        <v>49</v>
      </c>
      <c r="I176" t="s">
        <v>19</v>
      </c>
      <c r="J176" t="s">
        <v>76</v>
      </c>
      <c r="K176">
        <v>4</v>
      </c>
      <c r="L176">
        <v>2500</v>
      </c>
      <c r="M176">
        <v>10000</v>
      </c>
      <c r="N176" t="str">
        <f t="shared" si="4"/>
        <v>May</v>
      </c>
      <c r="O176" t="str">
        <f t="shared" si="5"/>
        <v>35-44</v>
      </c>
    </row>
    <row r="177" spans="1:15" x14ac:dyDescent="0.25">
      <c r="A177" t="s">
        <v>333</v>
      </c>
      <c r="B177" s="2">
        <v>45738</v>
      </c>
      <c r="C177" t="s">
        <v>143</v>
      </c>
      <c r="D177" t="s">
        <v>74</v>
      </c>
      <c r="E177" t="s">
        <v>16</v>
      </c>
      <c r="F177">
        <v>32</v>
      </c>
      <c r="G177" t="s">
        <v>48</v>
      </c>
      <c r="H177" t="s">
        <v>49</v>
      </c>
      <c r="I177" t="s">
        <v>79</v>
      </c>
      <c r="J177" t="s">
        <v>114</v>
      </c>
      <c r="K177">
        <v>1</v>
      </c>
      <c r="L177">
        <v>2500</v>
      </c>
      <c r="M177">
        <v>2500</v>
      </c>
      <c r="N177" t="str">
        <f t="shared" si="4"/>
        <v>Mar</v>
      </c>
      <c r="O177" t="str">
        <f t="shared" si="5"/>
        <v>25-34</v>
      </c>
    </row>
    <row r="178" spans="1:15" x14ac:dyDescent="0.25">
      <c r="A178" t="s">
        <v>334</v>
      </c>
      <c r="B178" s="2">
        <v>45747</v>
      </c>
      <c r="C178" t="s">
        <v>322</v>
      </c>
      <c r="D178" t="s">
        <v>152</v>
      </c>
      <c r="E178" t="s">
        <v>16</v>
      </c>
      <c r="F178">
        <v>53</v>
      </c>
      <c r="G178" t="s">
        <v>137</v>
      </c>
      <c r="H178" t="s">
        <v>137</v>
      </c>
      <c r="I178" t="s">
        <v>79</v>
      </c>
      <c r="J178" t="s">
        <v>208</v>
      </c>
      <c r="K178">
        <v>2</v>
      </c>
      <c r="L178">
        <v>3000</v>
      </c>
      <c r="M178">
        <v>6000</v>
      </c>
      <c r="N178" t="str">
        <f t="shared" si="4"/>
        <v>Mar</v>
      </c>
      <c r="O178" t="str">
        <f t="shared" si="5"/>
        <v>45+</v>
      </c>
    </row>
    <row r="179" spans="1:15" x14ac:dyDescent="0.25">
      <c r="A179" t="s">
        <v>335</v>
      </c>
      <c r="B179" s="2">
        <v>45659</v>
      </c>
      <c r="C179" t="s">
        <v>87</v>
      </c>
      <c r="D179" t="s">
        <v>78</v>
      </c>
      <c r="E179" t="s">
        <v>16</v>
      </c>
      <c r="F179">
        <v>47</v>
      </c>
      <c r="G179" t="s">
        <v>137</v>
      </c>
      <c r="H179" t="s">
        <v>137</v>
      </c>
      <c r="I179" t="s">
        <v>65</v>
      </c>
      <c r="J179" t="s">
        <v>146</v>
      </c>
      <c r="K179">
        <v>2</v>
      </c>
      <c r="L179">
        <v>300</v>
      </c>
      <c r="M179">
        <v>600</v>
      </c>
      <c r="N179" t="str">
        <f t="shared" si="4"/>
        <v>Jan</v>
      </c>
      <c r="O179" t="str">
        <f t="shared" si="5"/>
        <v>45+</v>
      </c>
    </row>
    <row r="180" spans="1:15" x14ac:dyDescent="0.25">
      <c r="A180" t="s">
        <v>336</v>
      </c>
      <c r="B180" s="2">
        <v>45721</v>
      </c>
      <c r="C180" t="s">
        <v>283</v>
      </c>
      <c r="D180" t="s">
        <v>23</v>
      </c>
      <c r="E180" t="s">
        <v>24</v>
      </c>
      <c r="F180">
        <v>27</v>
      </c>
      <c r="G180" t="s">
        <v>70</v>
      </c>
      <c r="H180" t="s">
        <v>18</v>
      </c>
      <c r="I180" t="s">
        <v>30</v>
      </c>
      <c r="J180" t="s">
        <v>31</v>
      </c>
      <c r="K180">
        <v>2</v>
      </c>
      <c r="L180">
        <v>1200</v>
      </c>
      <c r="M180">
        <v>2400</v>
      </c>
      <c r="N180" t="str">
        <f t="shared" si="4"/>
        <v>Mar</v>
      </c>
      <c r="O180" t="str">
        <f t="shared" si="5"/>
        <v>25-34</v>
      </c>
    </row>
    <row r="181" spans="1:15" x14ac:dyDescent="0.25">
      <c r="A181" t="s">
        <v>337</v>
      </c>
      <c r="B181" s="2">
        <v>45750</v>
      </c>
      <c r="C181" t="s">
        <v>190</v>
      </c>
      <c r="D181" t="s">
        <v>78</v>
      </c>
      <c r="E181" t="s">
        <v>16</v>
      </c>
      <c r="F181">
        <v>21</v>
      </c>
      <c r="G181" t="s">
        <v>17</v>
      </c>
      <c r="H181" t="s">
        <v>18</v>
      </c>
      <c r="I181" t="s">
        <v>65</v>
      </c>
      <c r="J181" t="s">
        <v>146</v>
      </c>
      <c r="K181">
        <v>3</v>
      </c>
      <c r="L181">
        <v>300</v>
      </c>
      <c r="M181">
        <v>900</v>
      </c>
      <c r="N181" t="str">
        <f t="shared" si="4"/>
        <v>Apr</v>
      </c>
      <c r="O181" t="str">
        <f t="shared" si="5"/>
        <v>18-24</v>
      </c>
    </row>
    <row r="182" spans="1:15" x14ac:dyDescent="0.25">
      <c r="A182" t="s">
        <v>338</v>
      </c>
      <c r="B182" s="2">
        <v>45933</v>
      </c>
      <c r="C182" t="s">
        <v>319</v>
      </c>
      <c r="D182" t="s">
        <v>52</v>
      </c>
      <c r="E182" t="s">
        <v>24</v>
      </c>
      <c r="F182">
        <v>39</v>
      </c>
      <c r="G182" t="s">
        <v>17</v>
      </c>
      <c r="H182" t="s">
        <v>18</v>
      </c>
      <c r="I182" t="s">
        <v>79</v>
      </c>
      <c r="J182" t="s">
        <v>188</v>
      </c>
      <c r="K182">
        <v>3</v>
      </c>
      <c r="L182">
        <v>1800</v>
      </c>
      <c r="M182">
        <v>5400</v>
      </c>
      <c r="N182" t="str">
        <f t="shared" si="4"/>
        <v>Oct</v>
      </c>
      <c r="O182" t="str">
        <f t="shared" si="5"/>
        <v>35-44</v>
      </c>
    </row>
    <row r="183" spans="1:15" x14ac:dyDescent="0.25">
      <c r="A183" t="s">
        <v>339</v>
      </c>
      <c r="B183" s="2">
        <v>45906</v>
      </c>
      <c r="C183" t="s">
        <v>154</v>
      </c>
      <c r="D183" t="s">
        <v>97</v>
      </c>
      <c r="E183" t="s">
        <v>24</v>
      </c>
      <c r="F183">
        <v>19</v>
      </c>
      <c r="G183" t="s">
        <v>63</v>
      </c>
      <c r="H183" t="s">
        <v>64</v>
      </c>
      <c r="I183" t="s">
        <v>30</v>
      </c>
      <c r="J183" t="s">
        <v>71</v>
      </c>
      <c r="K183">
        <v>4</v>
      </c>
      <c r="L183">
        <v>900</v>
      </c>
      <c r="M183">
        <v>3600</v>
      </c>
      <c r="N183" t="str">
        <f t="shared" si="4"/>
        <v>Sep</v>
      </c>
      <c r="O183" t="str">
        <f t="shared" si="5"/>
        <v>18-24</v>
      </c>
    </row>
    <row r="184" spans="1:15" x14ac:dyDescent="0.25">
      <c r="A184" t="s">
        <v>340</v>
      </c>
      <c r="B184" s="2">
        <v>46014</v>
      </c>
      <c r="C184" t="s">
        <v>324</v>
      </c>
      <c r="D184" t="s">
        <v>23</v>
      </c>
      <c r="E184" t="s">
        <v>24</v>
      </c>
      <c r="F184">
        <v>47</v>
      </c>
      <c r="G184" t="s">
        <v>34</v>
      </c>
      <c r="H184" t="s">
        <v>18</v>
      </c>
      <c r="I184" t="s">
        <v>65</v>
      </c>
      <c r="J184" t="s">
        <v>121</v>
      </c>
      <c r="K184">
        <v>1</v>
      </c>
      <c r="L184">
        <v>900</v>
      </c>
      <c r="M184">
        <v>900</v>
      </c>
      <c r="N184" t="str">
        <f t="shared" si="4"/>
        <v>Dec</v>
      </c>
      <c r="O184" t="str">
        <f t="shared" si="5"/>
        <v>45+</v>
      </c>
    </row>
    <row r="185" spans="1:15" x14ac:dyDescent="0.25">
      <c r="A185" t="s">
        <v>341</v>
      </c>
      <c r="B185" s="2">
        <v>45681</v>
      </c>
      <c r="C185" t="s">
        <v>103</v>
      </c>
      <c r="D185" t="s">
        <v>74</v>
      </c>
      <c r="E185" t="s">
        <v>16</v>
      </c>
      <c r="F185">
        <v>19</v>
      </c>
      <c r="G185" t="s">
        <v>75</v>
      </c>
      <c r="H185" t="s">
        <v>49</v>
      </c>
      <c r="I185" t="s">
        <v>19</v>
      </c>
      <c r="J185" t="s">
        <v>45</v>
      </c>
      <c r="K185">
        <v>4</v>
      </c>
      <c r="L185">
        <v>1500</v>
      </c>
      <c r="M185">
        <v>6000</v>
      </c>
      <c r="N185" t="str">
        <f t="shared" si="4"/>
        <v>Jan</v>
      </c>
      <c r="O185" t="str">
        <f t="shared" si="5"/>
        <v>18-24</v>
      </c>
    </row>
    <row r="186" spans="1:15" x14ac:dyDescent="0.25">
      <c r="A186" t="s">
        <v>342</v>
      </c>
      <c r="B186" s="2">
        <v>45768</v>
      </c>
      <c r="C186" t="s">
        <v>232</v>
      </c>
      <c r="D186" t="s">
        <v>152</v>
      </c>
      <c r="E186" t="s">
        <v>16</v>
      </c>
      <c r="F186">
        <v>54</v>
      </c>
      <c r="G186" t="s">
        <v>48</v>
      </c>
      <c r="H186" t="s">
        <v>49</v>
      </c>
      <c r="I186" t="s">
        <v>30</v>
      </c>
      <c r="J186" t="s">
        <v>35</v>
      </c>
      <c r="K186">
        <v>1</v>
      </c>
      <c r="L186">
        <v>700</v>
      </c>
      <c r="M186">
        <v>700</v>
      </c>
      <c r="N186" t="str">
        <f t="shared" si="4"/>
        <v>Apr</v>
      </c>
      <c r="O186" t="str">
        <f t="shared" si="5"/>
        <v>45+</v>
      </c>
    </row>
    <row r="187" spans="1:15" x14ac:dyDescent="0.25">
      <c r="A187" t="s">
        <v>343</v>
      </c>
      <c r="B187" s="2">
        <v>45663</v>
      </c>
      <c r="C187" t="s">
        <v>172</v>
      </c>
      <c r="D187" t="s">
        <v>106</v>
      </c>
      <c r="E187" t="s">
        <v>24</v>
      </c>
      <c r="F187">
        <v>47</v>
      </c>
      <c r="G187" t="s">
        <v>34</v>
      </c>
      <c r="H187" t="s">
        <v>18</v>
      </c>
      <c r="I187" t="s">
        <v>19</v>
      </c>
      <c r="J187" t="s">
        <v>20</v>
      </c>
      <c r="K187">
        <v>1</v>
      </c>
      <c r="L187">
        <v>5000</v>
      </c>
      <c r="M187">
        <v>5000</v>
      </c>
      <c r="N187" t="str">
        <f t="shared" si="4"/>
        <v>Jan</v>
      </c>
      <c r="O187" t="str">
        <f t="shared" si="5"/>
        <v>45+</v>
      </c>
    </row>
    <row r="188" spans="1:15" x14ac:dyDescent="0.25">
      <c r="A188" t="s">
        <v>344</v>
      </c>
      <c r="B188" s="2">
        <v>45993</v>
      </c>
      <c r="C188" t="s">
        <v>158</v>
      </c>
      <c r="D188" t="s">
        <v>118</v>
      </c>
      <c r="E188" t="s">
        <v>16</v>
      </c>
      <c r="F188">
        <v>47</v>
      </c>
      <c r="G188" t="s">
        <v>137</v>
      </c>
      <c r="H188" t="s">
        <v>137</v>
      </c>
      <c r="I188" t="s">
        <v>79</v>
      </c>
      <c r="J188" t="s">
        <v>188</v>
      </c>
      <c r="K188">
        <v>4</v>
      </c>
      <c r="L188">
        <v>1800</v>
      </c>
      <c r="M188">
        <v>7200</v>
      </c>
      <c r="N188" t="str">
        <f t="shared" si="4"/>
        <v>Dec</v>
      </c>
      <c r="O188" t="str">
        <f t="shared" si="5"/>
        <v>45+</v>
      </c>
    </row>
    <row r="189" spans="1:15" x14ac:dyDescent="0.25">
      <c r="A189" t="s">
        <v>345</v>
      </c>
      <c r="B189" s="2">
        <v>45910</v>
      </c>
      <c r="C189" t="s">
        <v>331</v>
      </c>
      <c r="D189" t="s">
        <v>113</v>
      </c>
      <c r="E189" t="s">
        <v>16</v>
      </c>
      <c r="F189">
        <v>29</v>
      </c>
      <c r="G189" t="s">
        <v>137</v>
      </c>
      <c r="H189" t="s">
        <v>137</v>
      </c>
      <c r="I189" t="s">
        <v>79</v>
      </c>
      <c r="J189" t="s">
        <v>80</v>
      </c>
      <c r="K189">
        <v>5</v>
      </c>
      <c r="L189">
        <v>600</v>
      </c>
      <c r="M189">
        <v>3000</v>
      </c>
      <c r="N189" t="str">
        <f t="shared" si="4"/>
        <v>Sep</v>
      </c>
      <c r="O189" t="str">
        <f t="shared" si="5"/>
        <v>25-34</v>
      </c>
    </row>
    <row r="190" spans="1:15" x14ac:dyDescent="0.25">
      <c r="A190" t="s">
        <v>346</v>
      </c>
      <c r="B190" s="2">
        <v>45827</v>
      </c>
      <c r="C190" t="s">
        <v>132</v>
      </c>
      <c r="D190" t="s">
        <v>78</v>
      </c>
      <c r="E190" t="s">
        <v>16</v>
      </c>
      <c r="F190">
        <v>25</v>
      </c>
      <c r="G190" t="s">
        <v>70</v>
      </c>
      <c r="H190" t="s">
        <v>18</v>
      </c>
      <c r="I190" t="s">
        <v>19</v>
      </c>
      <c r="J190" t="s">
        <v>76</v>
      </c>
      <c r="K190">
        <v>4</v>
      </c>
      <c r="L190">
        <v>2500</v>
      </c>
      <c r="M190">
        <v>10000</v>
      </c>
      <c r="N190" t="str">
        <f t="shared" si="4"/>
        <v>Jun</v>
      </c>
      <c r="O190" t="str">
        <f t="shared" si="5"/>
        <v>25-34</v>
      </c>
    </row>
    <row r="191" spans="1:15" x14ac:dyDescent="0.25">
      <c r="A191" t="s">
        <v>347</v>
      </c>
      <c r="B191" s="2">
        <v>45774</v>
      </c>
      <c r="C191" t="s">
        <v>103</v>
      </c>
      <c r="D191" t="s">
        <v>78</v>
      </c>
      <c r="E191" t="s">
        <v>16</v>
      </c>
      <c r="F191">
        <v>43</v>
      </c>
      <c r="G191" t="s">
        <v>137</v>
      </c>
      <c r="H191" t="s">
        <v>137</v>
      </c>
      <c r="I191" t="s">
        <v>79</v>
      </c>
      <c r="J191" t="s">
        <v>114</v>
      </c>
      <c r="K191">
        <v>1</v>
      </c>
      <c r="L191">
        <v>2500</v>
      </c>
      <c r="M191">
        <v>2500</v>
      </c>
      <c r="N191" t="str">
        <f t="shared" si="4"/>
        <v>Apr</v>
      </c>
      <c r="O191" t="str">
        <f t="shared" si="5"/>
        <v>35-44</v>
      </c>
    </row>
    <row r="192" spans="1:15" x14ac:dyDescent="0.25">
      <c r="A192" t="s">
        <v>348</v>
      </c>
      <c r="B192" s="2">
        <v>45676</v>
      </c>
      <c r="C192" t="s">
        <v>313</v>
      </c>
      <c r="D192" t="s">
        <v>78</v>
      </c>
      <c r="E192" t="s">
        <v>16</v>
      </c>
      <c r="F192">
        <v>46</v>
      </c>
      <c r="G192" t="s">
        <v>75</v>
      </c>
      <c r="H192" t="s">
        <v>49</v>
      </c>
      <c r="I192" t="s">
        <v>65</v>
      </c>
      <c r="J192" t="s">
        <v>121</v>
      </c>
      <c r="K192">
        <v>2</v>
      </c>
      <c r="L192">
        <v>900</v>
      </c>
      <c r="M192">
        <v>1800</v>
      </c>
      <c r="N192" t="str">
        <f t="shared" si="4"/>
        <v>Jan</v>
      </c>
      <c r="O192" t="str">
        <f t="shared" si="5"/>
        <v>45+</v>
      </c>
    </row>
    <row r="193" spans="1:15" x14ac:dyDescent="0.25">
      <c r="A193" t="s">
        <v>349</v>
      </c>
      <c r="B193" s="2">
        <v>45881</v>
      </c>
      <c r="C193" t="s">
        <v>218</v>
      </c>
      <c r="D193" t="s">
        <v>56</v>
      </c>
      <c r="E193" t="s">
        <v>16</v>
      </c>
      <c r="F193">
        <v>26</v>
      </c>
      <c r="G193" t="s">
        <v>25</v>
      </c>
      <c r="H193" t="s">
        <v>26</v>
      </c>
      <c r="I193" t="s">
        <v>19</v>
      </c>
      <c r="J193" t="s">
        <v>45</v>
      </c>
      <c r="K193">
        <v>4</v>
      </c>
      <c r="L193">
        <v>1500</v>
      </c>
      <c r="M193">
        <v>6000</v>
      </c>
      <c r="N193" t="str">
        <f t="shared" si="4"/>
        <v>Aug</v>
      </c>
      <c r="O193" t="str">
        <f t="shared" si="5"/>
        <v>25-34</v>
      </c>
    </row>
    <row r="194" spans="1:15" x14ac:dyDescent="0.25">
      <c r="A194" t="s">
        <v>350</v>
      </c>
      <c r="B194" s="2">
        <v>45956</v>
      </c>
      <c r="C194" t="s">
        <v>351</v>
      </c>
      <c r="D194" t="s">
        <v>15</v>
      </c>
      <c r="E194" t="s">
        <v>16</v>
      </c>
      <c r="F194">
        <v>51</v>
      </c>
      <c r="G194" t="s">
        <v>43</v>
      </c>
      <c r="H194" t="s">
        <v>44</v>
      </c>
      <c r="I194" t="s">
        <v>79</v>
      </c>
      <c r="J194" t="s">
        <v>188</v>
      </c>
      <c r="K194">
        <v>2</v>
      </c>
      <c r="L194">
        <v>1800</v>
      </c>
      <c r="M194">
        <v>3600</v>
      </c>
      <c r="N194" t="str">
        <f t="shared" si="4"/>
        <v>Oct</v>
      </c>
      <c r="O194" t="str">
        <f t="shared" si="5"/>
        <v>45+</v>
      </c>
    </row>
    <row r="195" spans="1:15" x14ac:dyDescent="0.25">
      <c r="A195" t="s">
        <v>352</v>
      </c>
      <c r="B195" s="2">
        <v>45777</v>
      </c>
      <c r="C195" t="s">
        <v>273</v>
      </c>
      <c r="D195" t="s">
        <v>29</v>
      </c>
      <c r="E195" t="s">
        <v>24</v>
      </c>
      <c r="F195">
        <v>32</v>
      </c>
      <c r="G195" t="s">
        <v>38</v>
      </c>
      <c r="H195" t="s">
        <v>26</v>
      </c>
      <c r="I195" t="s">
        <v>19</v>
      </c>
      <c r="J195" t="s">
        <v>76</v>
      </c>
      <c r="K195">
        <v>2</v>
      </c>
      <c r="L195">
        <v>2500</v>
      </c>
      <c r="M195">
        <v>5000</v>
      </c>
      <c r="N195" t="str">
        <f t="shared" ref="N195:N258" si="6">TEXT(B195,"mmm")</f>
        <v>Apr</v>
      </c>
      <c r="O195" t="str">
        <f t="shared" si="5"/>
        <v>25-34</v>
      </c>
    </row>
    <row r="196" spans="1:15" x14ac:dyDescent="0.25">
      <c r="A196" t="s">
        <v>353</v>
      </c>
      <c r="B196" s="2">
        <v>45802</v>
      </c>
      <c r="C196" t="s">
        <v>311</v>
      </c>
      <c r="D196" t="s">
        <v>152</v>
      </c>
      <c r="E196" t="s">
        <v>16</v>
      </c>
      <c r="F196">
        <v>22</v>
      </c>
      <c r="G196" t="s">
        <v>75</v>
      </c>
      <c r="H196" t="s">
        <v>49</v>
      </c>
      <c r="I196" t="s">
        <v>30</v>
      </c>
      <c r="J196" t="s">
        <v>35</v>
      </c>
      <c r="K196">
        <v>5</v>
      </c>
      <c r="L196">
        <v>700</v>
      </c>
      <c r="M196">
        <v>3500</v>
      </c>
      <c r="N196" t="str">
        <f t="shared" si="6"/>
        <v>May</v>
      </c>
      <c r="O196" t="str">
        <f t="shared" ref="O196:O259" si="7">IF(F196&lt;25,"18-24",IF(F196&lt;35,"25-34",IF(F196&lt;45,"35-44","45+")))</f>
        <v>18-24</v>
      </c>
    </row>
    <row r="197" spans="1:15" x14ac:dyDescent="0.25">
      <c r="A197" t="s">
        <v>354</v>
      </c>
      <c r="B197" s="2">
        <v>45931</v>
      </c>
      <c r="C197" t="s">
        <v>190</v>
      </c>
      <c r="D197" t="s">
        <v>118</v>
      </c>
      <c r="E197" t="s">
        <v>16</v>
      </c>
      <c r="F197">
        <v>42</v>
      </c>
      <c r="G197" t="s">
        <v>48</v>
      </c>
      <c r="H197" t="s">
        <v>49</v>
      </c>
      <c r="I197" t="s">
        <v>19</v>
      </c>
      <c r="J197" t="s">
        <v>45</v>
      </c>
      <c r="K197">
        <v>4</v>
      </c>
      <c r="L197">
        <v>1500</v>
      </c>
      <c r="M197">
        <v>6000</v>
      </c>
      <c r="N197" t="str">
        <f t="shared" si="6"/>
        <v>Oct</v>
      </c>
      <c r="O197" t="str">
        <f t="shared" si="7"/>
        <v>35-44</v>
      </c>
    </row>
    <row r="198" spans="1:15" x14ac:dyDescent="0.25">
      <c r="A198" t="s">
        <v>355</v>
      </c>
      <c r="B198" s="2">
        <v>45739</v>
      </c>
      <c r="C198" t="s">
        <v>28</v>
      </c>
      <c r="D198" t="s">
        <v>113</v>
      </c>
      <c r="E198" t="s">
        <v>16</v>
      </c>
      <c r="F198">
        <v>37</v>
      </c>
      <c r="G198" t="s">
        <v>137</v>
      </c>
      <c r="H198" t="s">
        <v>137</v>
      </c>
      <c r="I198" t="s">
        <v>65</v>
      </c>
      <c r="J198" t="s">
        <v>125</v>
      </c>
      <c r="K198">
        <v>3</v>
      </c>
      <c r="L198">
        <v>700</v>
      </c>
      <c r="M198">
        <v>2100</v>
      </c>
      <c r="N198" t="str">
        <f t="shared" si="6"/>
        <v>Mar</v>
      </c>
      <c r="O198" t="str">
        <f t="shared" si="7"/>
        <v>35-44</v>
      </c>
    </row>
    <row r="199" spans="1:15" x14ac:dyDescent="0.25">
      <c r="A199" t="s">
        <v>356</v>
      </c>
      <c r="B199" s="2">
        <v>45734</v>
      </c>
      <c r="C199" t="s">
        <v>22</v>
      </c>
      <c r="D199" t="s">
        <v>124</v>
      </c>
      <c r="E199" t="s">
        <v>24</v>
      </c>
      <c r="F199">
        <v>32</v>
      </c>
      <c r="G199" t="s">
        <v>63</v>
      </c>
      <c r="H199" t="s">
        <v>64</v>
      </c>
      <c r="I199" t="s">
        <v>39</v>
      </c>
      <c r="J199" t="s">
        <v>60</v>
      </c>
      <c r="K199">
        <v>4</v>
      </c>
      <c r="L199">
        <v>1500</v>
      </c>
      <c r="M199">
        <v>6000</v>
      </c>
      <c r="N199" t="str">
        <f t="shared" si="6"/>
        <v>Mar</v>
      </c>
      <c r="O199" t="str">
        <f t="shared" si="7"/>
        <v>25-34</v>
      </c>
    </row>
    <row r="200" spans="1:15" x14ac:dyDescent="0.25">
      <c r="A200" t="s">
        <v>357</v>
      </c>
      <c r="B200" s="2">
        <v>45786</v>
      </c>
      <c r="C200" t="s">
        <v>199</v>
      </c>
      <c r="D200" t="s">
        <v>83</v>
      </c>
      <c r="E200" t="s">
        <v>16</v>
      </c>
      <c r="F200">
        <v>55</v>
      </c>
      <c r="G200" t="s">
        <v>137</v>
      </c>
      <c r="H200" t="s">
        <v>137</v>
      </c>
      <c r="I200" t="s">
        <v>30</v>
      </c>
      <c r="J200" t="s">
        <v>35</v>
      </c>
      <c r="K200">
        <v>5</v>
      </c>
      <c r="L200">
        <v>700</v>
      </c>
      <c r="M200">
        <v>3500</v>
      </c>
      <c r="N200" t="str">
        <f t="shared" si="6"/>
        <v>May</v>
      </c>
      <c r="O200" t="str">
        <f t="shared" si="7"/>
        <v>45+</v>
      </c>
    </row>
    <row r="201" spans="1:15" x14ac:dyDescent="0.25">
      <c r="A201" t="s">
        <v>358</v>
      </c>
      <c r="B201" s="2">
        <v>45902</v>
      </c>
      <c r="C201" t="s">
        <v>105</v>
      </c>
      <c r="D201" t="s">
        <v>152</v>
      </c>
      <c r="E201" t="s">
        <v>16</v>
      </c>
      <c r="F201">
        <v>23</v>
      </c>
      <c r="G201" t="s">
        <v>70</v>
      </c>
      <c r="H201" t="s">
        <v>18</v>
      </c>
      <c r="I201" t="s">
        <v>79</v>
      </c>
      <c r="J201" t="s">
        <v>114</v>
      </c>
      <c r="K201">
        <v>5</v>
      </c>
      <c r="L201">
        <v>2500</v>
      </c>
      <c r="M201">
        <v>12500</v>
      </c>
      <c r="N201" t="str">
        <f t="shared" si="6"/>
        <v>Sep</v>
      </c>
      <c r="O201" t="str">
        <f t="shared" si="7"/>
        <v>18-24</v>
      </c>
    </row>
    <row r="202" spans="1:15" x14ac:dyDescent="0.25">
      <c r="A202" t="s">
        <v>359</v>
      </c>
      <c r="B202" s="2">
        <v>45664</v>
      </c>
      <c r="C202" t="s">
        <v>311</v>
      </c>
      <c r="D202" t="s">
        <v>113</v>
      </c>
      <c r="E202" t="s">
        <v>16</v>
      </c>
      <c r="F202">
        <v>52</v>
      </c>
      <c r="G202" t="s">
        <v>63</v>
      </c>
      <c r="H202" t="s">
        <v>64</v>
      </c>
      <c r="I202" t="s">
        <v>65</v>
      </c>
      <c r="J202" t="s">
        <v>146</v>
      </c>
      <c r="K202">
        <v>5</v>
      </c>
      <c r="L202">
        <v>300</v>
      </c>
      <c r="M202">
        <v>1500</v>
      </c>
      <c r="N202" t="str">
        <f t="shared" si="6"/>
        <v>Jan</v>
      </c>
      <c r="O202" t="str">
        <f t="shared" si="7"/>
        <v>45+</v>
      </c>
    </row>
    <row r="203" spans="1:15" x14ac:dyDescent="0.25">
      <c r="A203" t="s">
        <v>360</v>
      </c>
      <c r="B203" s="2">
        <v>45846</v>
      </c>
      <c r="C203" t="s">
        <v>180</v>
      </c>
      <c r="D203" t="s">
        <v>93</v>
      </c>
      <c r="E203" t="s">
        <v>24</v>
      </c>
      <c r="F203">
        <v>49</v>
      </c>
      <c r="G203" t="s">
        <v>137</v>
      </c>
      <c r="H203" t="s">
        <v>137</v>
      </c>
      <c r="I203" t="s">
        <v>39</v>
      </c>
      <c r="J203" t="s">
        <v>94</v>
      </c>
      <c r="K203">
        <v>4</v>
      </c>
      <c r="L203">
        <v>600</v>
      </c>
      <c r="M203">
        <v>2400</v>
      </c>
      <c r="N203" t="str">
        <f t="shared" si="6"/>
        <v>Jul</v>
      </c>
      <c r="O203" t="str">
        <f t="shared" si="7"/>
        <v>45+</v>
      </c>
    </row>
    <row r="204" spans="1:15" x14ac:dyDescent="0.25">
      <c r="A204" t="s">
        <v>361</v>
      </c>
      <c r="B204" s="2">
        <v>45890</v>
      </c>
      <c r="C204" t="s">
        <v>168</v>
      </c>
      <c r="D204" t="s">
        <v>113</v>
      </c>
      <c r="E204" t="s">
        <v>16</v>
      </c>
      <c r="F204">
        <v>37</v>
      </c>
      <c r="G204" t="s">
        <v>34</v>
      </c>
      <c r="H204" t="s">
        <v>18</v>
      </c>
      <c r="I204" t="s">
        <v>39</v>
      </c>
      <c r="J204" t="s">
        <v>60</v>
      </c>
      <c r="K204">
        <v>3</v>
      </c>
      <c r="L204">
        <v>1500</v>
      </c>
      <c r="M204">
        <v>4500</v>
      </c>
      <c r="N204" t="str">
        <f t="shared" si="6"/>
        <v>Aug</v>
      </c>
      <c r="O204" t="str">
        <f t="shared" si="7"/>
        <v>35-44</v>
      </c>
    </row>
    <row r="205" spans="1:15" x14ac:dyDescent="0.25">
      <c r="A205" t="s">
        <v>362</v>
      </c>
      <c r="B205" s="2">
        <v>45778</v>
      </c>
      <c r="C205" t="s">
        <v>244</v>
      </c>
      <c r="D205" t="s">
        <v>97</v>
      </c>
      <c r="E205" t="s">
        <v>24</v>
      </c>
      <c r="F205">
        <v>29</v>
      </c>
      <c r="G205" t="s">
        <v>75</v>
      </c>
      <c r="H205" t="s">
        <v>49</v>
      </c>
      <c r="I205" t="s">
        <v>39</v>
      </c>
      <c r="J205" t="s">
        <v>60</v>
      </c>
      <c r="K205">
        <v>5</v>
      </c>
      <c r="L205">
        <v>1500</v>
      </c>
      <c r="M205">
        <v>7500</v>
      </c>
      <c r="N205" t="str">
        <f t="shared" si="6"/>
        <v>May</v>
      </c>
      <c r="O205" t="str">
        <f t="shared" si="7"/>
        <v>25-34</v>
      </c>
    </row>
    <row r="206" spans="1:15" x14ac:dyDescent="0.25">
      <c r="A206" t="s">
        <v>363</v>
      </c>
      <c r="B206" s="2">
        <v>45781</v>
      </c>
      <c r="C206" t="s">
        <v>195</v>
      </c>
      <c r="D206" t="s">
        <v>69</v>
      </c>
      <c r="E206" t="s">
        <v>24</v>
      </c>
      <c r="F206">
        <v>47</v>
      </c>
      <c r="G206" t="s">
        <v>25</v>
      </c>
      <c r="H206" t="s">
        <v>26</v>
      </c>
      <c r="I206" t="s">
        <v>39</v>
      </c>
      <c r="J206" t="s">
        <v>60</v>
      </c>
      <c r="K206">
        <v>4</v>
      </c>
      <c r="L206">
        <v>1500</v>
      </c>
      <c r="M206">
        <v>6000</v>
      </c>
      <c r="N206" t="str">
        <f t="shared" si="6"/>
        <v>May</v>
      </c>
      <c r="O206" t="str">
        <f t="shared" si="7"/>
        <v>45+</v>
      </c>
    </row>
    <row r="207" spans="1:15" x14ac:dyDescent="0.25">
      <c r="A207" t="s">
        <v>364</v>
      </c>
      <c r="B207" s="2">
        <v>45869</v>
      </c>
      <c r="C207" t="s">
        <v>273</v>
      </c>
      <c r="D207" t="s">
        <v>97</v>
      </c>
      <c r="E207" t="s">
        <v>24</v>
      </c>
      <c r="F207">
        <v>22</v>
      </c>
      <c r="G207" t="s">
        <v>75</v>
      </c>
      <c r="H207" t="s">
        <v>49</v>
      </c>
      <c r="I207" t="s">
        <v>19</v>
      </c>
      <c r="J207" t="s">
        <v>45</v>
      </c>
      <c r="K207">
        <v>4</v>
      </c>
      <c r="L207">
        <v>1500</v>
      </c>
      <c r="M207">
        <v>6000</v>
      </c>
      <c r="N207" t="str">
        <f t="shared" si="6"/>
        <v>Jul</v>
      </c>
      <c r="O207" t="str">
        <f t="shared" si="7"/>
        <v>18-24</v>
      </c>
    </row>
    <row r="208" spans="1:15" x14ac:dyDescent="0.25">
      <c r="A208" t="s">
        <v>365</v>
      </c>
      <c r="B208" s="2">
        <v>45709</v>
      </c>
      <c r="C208" t="s">
        <v>366</v>
      </c>
      <c r="D208" t="s">
        <v>118</v>
      </c>
      <c r="E208" t="s">
        <v>16</v>
      </c>
      <c r="F208">
        <v>52</v>
      </c>
      <c r="G208" t="s">
        <v>43</v>
      </c>
      <c r="H208" t="s">
        <v>44</v>
      </c>
      <c r="I208" t="s">
        <v>79</v>
      </c>
      <c r="J208" t="s">
        <v>208</v>
      </c>
      <c r="K208">
        <v>4</v>
      </c>
      <c r="L208">
        <v>3000</v>
      </c>
      <c r="M208">
        <v>12000</v>
      </c>
      <c r="N208" t="str">
        <f t="shared" si="6"/>
        <v>Feb</v>
      </c>
      <c r="O208" t="str">
        <f t="shared" si="7"/>
        <v>45+</v>
      </c>
    </row>
    <row r="209" spans="1:15" x14ac:dyDescent="0.25">
      <c r="A209" t="s">
        <v>367</v>
      </c>
      <c r="B209" s="2">
        <v>45667</v>
      </c>
      <c r="C209" t="s">
        <v>368</v>
      </c>
      <c r="D209" t="s">
        <v>52</v>
      </c>
      <c r="E209" t="s">
        <v>24</v>
      </c>
      <c r="F209">
        <v>21</v>
      </c>
      <c r="G209" t="s">
        <v>48</v>
      </c>
      <c r="H209" t="s">
        <v>49</v>
      </c>
      <c r="I209" t="s">
        <v>19</v>
      </c>
      <c r="J209" t="s">
        <v>85</v>
      </c>
      <c r="K209">
        <v>2</v>
      </c>
      <c r="L209">
        <v>800</v>
      </c>
      <c r="M209">
        <v>1600</v>
      </c>
      <c r="N209" t="str">
        <f t="shared" si="6"/>
        <v>Jan</v>
      </c>
      <c r="O209" t="str">
        <f t="shared" si="7"/>
        <v>18-24</v>
      </c>
    </row>
    <row r="210" spans="1:15" x14ac:dyDescent="0.25">
      <c r="A210" t="s">
        <v>369</v>
      </c>
      <c r="B210" s="2">
        <v>45784</v>
      </c>
      <c r="C210" t="s">
        <v>158</v>
      </c>
      <c r="D210" t="s">
        <v>78</v>
      </c>
      <c r="E210" t="s">
        <v>16</v>
      </c>
      <c r="F210">
        <v>39</v>
      </c>
      <c r="G210" t="s">
        <v>17</v>
      </c>
      <c r="H210" t="s">
        <v>18</v>
      </c>
      <c r="I210" t="s">
        <v>65</v>
      </c>
      <c r="J210" t="s">
        <v>146</v>
      </c>
      <c r="K210">
        <v>5</v>
      </c>
      <c r="L210">
        <v>300</v>
      </c>
      <c r="M210">
        <v>1500</v>
      </c>
      <c r="N210" t="str">
        <f t="shared" si="6"/>
        <v>May</v>
      </c>
      <c r="O210" t="str">
        <f t="shared" si="7"/>
        <v>35-44</v>
      </c>
    </row>
    <row r="211" spans="1:15" x14ac:dyDescent="0.25">
      <c r="A211" t="s">
        <v>370</v>
      </c>
      <c r="B211" s="2">
        <v>45890</v>
      </c>
      <c r="C211" t="s">
        <v>371</v>
      </c>
      <c r="D211" t="s">
        <v>78</v>
      </c>
      <c r="E211" t="s">
        <v>16</v>
      </c>
      <c r="F211">
        <v>22</v>
      </c>
      <c r="G211" t="s">
        <v>34</v>
      </c>
      <c r="H211" t="s">
        <v>18</v>
      </c>
      <c r="I211" t="s">
        <v>65</v>
      </c>
      <c r="J211" t="s">
        <v>66</v>
      </c>
      <c r="K211">
        <v>4</v>
      </c>
      <c r="L211">
        <v>500</v>
      </c>
      <c r="M211">
        <v>2000</v>
      </c>
      <c r="N211" t="str">
        <f t="shared" si="6"/>
        <v>Aug</v>
      </c>
      <c r="O211" t="str">
        <f t="shared" si="7"/>
        <v>18-24</v>
      </c>
    </row>
    <row r="212" spans="1:15" x14ac:dyDescent="0.25">
      <c r="A212" t="s">
        <v>372</v>
      </c>
      <c r="B212" s="2">
        <v>45926</v>
      </c>
      <c r="C212" t="s">
        <v>286</v>
      </c>
      <c r="D212" t="s">
        <v>59</v>
      </c>
      <c r="E212" t="s">
        <v>24</v>
      </c>
      <c r="F212">
        <v>51</v>
      </c>
      <c r="G212" t="s">
        <v>43</v>
      </c>
      <c r="H212" t="s">
        <v>44</v>
      </c>
      <c r="I212" t="s">
        <v>65</v>
      </c>
      <c r="J212" t="s">
        <v>146</v>
      </c>
      <c r="K212">
        <v>5</v>
      </c>
      <c r="L212">
        <v>300</v>
      </c>
      <c r="M212">
        <v>1500</v>
      </c>
      <c r="N212" t="str">
        <f t="shared" si="6"/>
        <v>Sep</v>
      </c>
      <c r="O212" t="str">
        <f t="shared" si="7"/>
        <v>45+</v>
      </c>
    </row>
    <row r="213" spans="1:15" x14ac:dyDescent="0.25">
      <c r="A213" t="s">
        <v>373</v>
      </c>
      <c r="B213" s="2">
        <v>45828</v>
      </c>
      <c r="C213" t="s">
        <v>103</v>
      </c>
      <c r="D213" t="s">
        <v>69</v>
      </c>
      <c r="E213" t="s">
        <v>24</v>
      </c>
      <c r="F213">
        <v>23</v>
      </c>
      <c r="G213" t="s">
        <v>137</v>
      </c>
      <c r="H213" t="s">
        <v>137</v>
      </c>
      <c r="I213" t="s">
        <v>19</v>
      </c>
      <c r="J213" t="s">
        <v>76</v>
      </c>
      <c r="K213">
        <v>1</v>
      </c>
      <c r="L213">
        <v>2500</v>
      </c>
      <c r="M213">
        <v>2500</v>
      </c>
      <c r="N213" t="str">
        <f t="shared" si="6"/>
        <v>Jun</v>
      </c>
      <c r="O213" t="str">
        <f t="shared" si="7"/>
        <v>18-24</v>
      </c>
    </row>
    <row r="214" spans="1:15" x14ac:dyDescent="0.25">
      <c r="A214" t="s">
        <v>374</v>
      </c>
      <c r="B214" s="2">
        <v>45901</v>
      </c>
      <c r="C214" t="s">
        <v>82</v>
      </c>
      <c r="D214" t="s">
        <v>113</v>
      </c>
      <c r="E214" t="s">
        <v>16</v>
      </c>
      <c r="F214">
        <v>53</v>
      </c>
      <c r="G214" t="s">
        <v>75</v>
      </c>
      <c r="H214" t="s">
        <v>49</v>
      </c>
      <c r="I214" t="s">
        <v>19</v>
      </c>
      <c r="J214" t="s">
        <v>85</v>
      </c>
      <c r="K214">
        <v>3</v>
      </c>
      <c r="L214">
        <v>800</v>
      </c>
      <c r="M214">
        <v>2400</v>
      </c>
      <c r="N214" t="str">
        <f t="shared" si="6"/>
        <v>Sep</v>
      </c>
      <c r="O214" t="str">
        <f t="shared" si="7"/>
        <v>45+</v>
      </c>
    </row>
    <row r="215" spans="1:15" x14ac:dyDescent="0.25">
      <c r="A215" t="s">
        <v>375</v>
      </c>
      <c r="B215" s="2">
        <v>45953</v>
      </c>
      <c r="C215" t="s">
        <v>96</v>
      </c>
      <c r="D215" t="s">
        <v>124</v>
      </c>
      <c r="E215" t="s">
        <v>24</v>
      </c>
      <c r="F215">
        <v>42</v>
      </c>
      <c r="G215" t="s">
        <v>34</v>
      </c>
      <c r="H215" t="s">
        <v>18</v>
      </c>
      <c r="I215" t="s">
        <v>65</v>
      </c>
      <c r="J215" t="s">
        <v>146</v>
      </c>
      <c r="K215">
        <v>5</v>
      </c>
      <c r="L215">
        <v>300</v>
      </c>
      <c r="M215">
        <v>1500</v>
      </c>
      <c r="N215" t="str">
        <f t="shared" si="6"/>
        <v>Oct</v>
      </c>
      <c r="O215" t="str">
        <f t="shared" si="7"/>
        <v>35-44</v>
      </c>
    </row>
    <row r="216" spans="1:15" x14ac:dyDescent="0.25">
      <c r="A216" t="s">
        <v>376</v>
      </c>
      <c r="B216" s="2">
        <v>45972</v>
      </c>
      <c r="C216" t="s">
        <v>267</v>
      </c>
      <c r="D216" t="s">
        <v>69</v>
      </c>
      <c r="E216" t="s">
        <v>24</v>
      </c>
      <c r="F216">
        <v>41</v>
      </c>
      <c r="G216" t="s">
        <v>75</v>
      </c>
      <c r="H216" t="s">
        <v>49</v>
      </c>
      <c r="I216" t="s">
        <v>65</v>
      </c>
      <c r="J216" t="s">
        <v>66</v>
      </c>
      <c r="K216">
        <v>5</v>
      </c>
      <c r="L216">
        <v>500</v>
      </c>
      <c r="M216">
        <v>2500</v>
      </c>
      <c r="N216" t="str">
        <f t="shared" si="6"/>
        <v>Nov</v>
      </c>
      <c r="O216" t="str">
        <f t="shared" si="7"/>
        <v>35-44</v>
      </c>
    </row>
    <row r="217" spans="1:15" x14ac:dyDescent="0.25">
      <c r="A217" t="s">
        <v>377</v>
      </c>
      <c r="B217" s="2">
        <v>45894</v>
      </c>
      <c r="C217" t="s">
        <v>319</v>
      </c>
      <c r="D217" t="s">
        <v>59</v>
      </c>
      <c r="E217" t="s">
        <v>24</v>
      </c>
      <c r="F217">
        <v>18</v>
      </c>
      <c r="G217" t="s">
        <v>137</v>
      </c>
      <c r="H217" t="s">
        <v>137</v>
      </c>
      <c r="I217" t="s">
        <v>30</v>
      </c>
      <c r="J217" t="s">
        <v>175</v>
      </c>
      <c r="K217">
        <v>1</v>
      </c>
      <c r="L217">
        <v>1800</v>
      </c>
      <c r="M217">
        <v>1800</v>
      </c>
      <c r="N217" t="str">
        <f t="shared" si="6"/>
        <v>Aug</v>
      </c>
      <c r="O217" t="str">
        <f t="shared" si="7"/>
        <v>18-24</v>
      </c>
    </row>
    <row r="218" spans="1:15" x14ac:dyDescent="0.25">
      <c r="A218" t="s">
        <v>378</v>
      </c>
      <c r="B218" s="2">
        <v>45924</v>
      </c>
      <c r="C218" t="s">
        <v>267</v>
      </c>
      <c r="D218" t="s">
        <v>101</v>
      </c>
      <c r="E218" t="s">
        <v>16</v>
      </c>
      <c r="F218">
        <v>45</v>
      </c>
      <c r="G218" t="s">
        <v>38</v>
      </c>
      <c r="H218" t="s">
        <v>26</v>
      </c>
      <c r="I218" t="s">
        <v>79</v>
      </c>
      <c r="J218" t="s">
        <v>188</v>
      </c>
      <c r="K218">
        <v>4</v>
      </c>
      <c r="L218">
        <v>1800</v>
      </c>
      <c r="M218">
        <v>7200</v>
      </c>
      <c r="N218" t="str">
        <f t="shared" si="6"/>
        <v>Sep</v>
      </c>
      <c r="O218" t="str">
        <f t="shared" si="7"/>
        <v>45+</v>
      </c>
    </row>
    <row r="219" spans="1:15" x14ac:dyDescent="0.25">
      <c r="A219" t="s">
        <v>379</v>
      </c>
      <c r="B219" s="2">
        <v>45717</v>
      </c>
      <c r="C219" t="s">
        <v>163</v>
      </c>
      <c r="D219" t="s">
        <v>15</v>
      </c>
      <c r="E219" t="s">
        <v>16</v>
      </c>
      <c r="F219">
        <v>43</v>
      </c>
      <c r="G219" t="s">
        <v>48</v>
      </c>
      <c r="H219" t="s">
        <v>49</v>
      </c>
      <c r="I219" t="s">
        <v>65</v>
      </c>
      <c r="J219" t="s">
        <v>125</v>
      </c>
      <c r="K219">
        <v>5</v>
      </c>
      <c r="L219">
        <v>700</v>
      </c>
      <c r="M219">
        <v>3500</v>
      </c>
      <c r="N219" t="str">
        <f t="shared" si="6"/>
        <v>Mar</v>
      </c>
      <c r="O219" t="str">
        <f t="shared" si="7"/>
        <v>35-44</v>
      </c>
    </row>
    <row r="220" spans="1:15" x14ac:dyDescent="0.25">
      <c r="A220" t="s">
        <v>380</v>
      </c>
      <c r="B220" s="2">
        <v>45929</v>
      </c>
      <c r="C220" t="s">
        <v>351</v>
      </c>
      <c r="D220" t="s">
        <v>74</v>
      </c>
      <c r="E220" t="s">
        <v>16</v>
      </c>
      <c r="F220">
        <v>30</v>
      </c>
      <c r="G220" t="s">
        <v>48</v>
      </c>
      <c r="H220" t="s">
        <v>49</v>
      </c>
      <c r="I220" t="s">
        <v>79</v>
      </c>
      <c r="J220" t="s">
        <v>114</v>
      </c>
      <c r="K220">
        <v>4</v>
      </c>
      <c r="L220">
        <v>2500</v>
      </c>
      <c r="M220">
        <v>10000</v>
      </c>
      <c r="N220" t="str">
        <f t="shared" si="6"/>
        <v>Sep</v>
      </c>
      <c r="O220" t="str">
        <f t="shared" si="7"/>
        <v>25-34</v>
      </c>
    </row>
    <row r="221" spans="1:15" x14ac:dyDescent="0.25">
      <c r="A221" t="s">
        <v>381</v>
      </c>
      <c r="B221" s="2">
        <v>45850</v>
      </c>
      <c r="C221" t="s">
        <v>264</v>
      </c>
      <c r="D221" t="s">
        <v>152</v>
      </c>
      <c r="E221" t="s">
        <v>16</v>
      </c>
      <c r="F221">
        <v>48</v>
      </c>
      <c r="G221" t="s">
        <v>38</v>
      </c>
      <c r="H221" t="s">
        <v>26</v>
      </c>
      <c r="I221" t="s">
        <v>30</v>
      </c>
      <c r="J221" t="s">
        <v>31</v>
      </c>
      <c r="K221">
        <v>2</v>
      </c>
      <c r="L221">
        <v>1200</v>
      </c>
      <c r="M221">
        <v>2400</v>
      </c>
      <c r="N221" t="str">
        <f t="shared" si="6"/>
        <v>Jul</v>
      </c>
      <c r="O221" t="str">
        <f t="shared" si="7"/>
        <v>45+</v>
      </c>
    </row>
    <row r="222" spans="1:15" x14ac:dyDescent="0.25">
      <c r="A222" t="s">
        <v>382</v>
      </c>
      <c r="B222" s="2">
        <v>45767</v>
      </c>
      <c r="C222" t="s">
        <v>383</v>
      </c>
      <c r="D222" t="s">
        <v>83</v>
      </c>
      <c r="E222" t="s">
        <v>16</v>
      </c>
      <c r="F222">
        <v>40</v>
      </c>
      <c r="G222" t="s">
        <v>34</v>
      </c>
      <c r="H222" t="s">
        <v>18</v>
      </c>
      <c r="I222" t="s">
        <v>30</v>
      </c>
      <c r="J222" t="s">
        <v>31</v>
      </c>
      <c r="K222">
        <v>5</v>
      </c>
      <c r="L222">
        <v>1200</v>
      </c>
      <c r="M222">
        <v>6000</v>
      </c>
      <c r="N222" t="str">
        <f t="shared" si="6"/>
        <v>Apr</v>
      </c>
      <c r="O222" t="str">
        <f t="shared" si="7"/>
        <v>35-44</v>
      </c>
    </row>
    <row r="223" spans="1:15" x14ac:dyDescent="0.25">
      <c r="A223" t="s">
        <v>384</v>
      </c>
      <c r="B223" s="2">
        <v>45999</v>
      </c>
      <c r="C223" t="s">
        <v>213</v>
      </c>
      <c r="D223" t="s">
        <v>23</v>
      </c>
      <c r="E223" t="s">
        <v>24</v>
      </c>
      <c r="F223">
        <v>25</v>
      </c>
      <c r="G223" t="s">
        <v>25</v>
      </c>
      <c r="H223" t="s">
        <v>26</v>
      </c>
      <c r="I223" t="s">
        <v>39</v>
      </c>
      <c r="J223" t="s">
        <v>94</v>
      </c>
      <c r="K223">
        <v>4</v>
      </c>
      <c r="L223">
        <v>600</v>
      </c>
      <c r="M223">
        <v>2400</v>
      </c>
      <c r="N223" t="str">
        <f t="shared" si="6"/>
        <v>Dec</v>
      </c>
      <c r="O223" t="str">
        <f t="shared" si="7"/>
        <v>25-34</v>
      </c>
    </row>
    <row r="224" spans="1:15" x14ac:dyDescent="0.25">
      <c r="A224" t="s">
        <v>385</v>
      </c>
      <c r="B224" s="2">
        <v>45828</v>
      </c>
      <c r="C224" t="s">
        <v>130</v>
      </c>
      <c r="D224" t="s">
        <v>113</v>
      </c>
      <c r="E224" t="s">
        <v>16</v>
      </c>
      <c r="F224">
        <v>30</v>
      </c>
      <c r="G224" t="s">
        <v>48</v>
      </c>
      <c r="H224" t="s">
        <v>49</v>
      </c>
      <c r="I224" t="s">
        <v>79</v>
      </c>
      <c r="J224" t="s">
        <v>188</v>
      </c>
      <c r="K224">
        <v>1</v>
      </c>
      <c r="L224">
        <v>1800</v>
      </c>
      <c r="M224">
        <v>1800</v>
      </c>
      <c r="N224" t="str">
        <f t="shared" si="6"/>
        <v>Jun</v>
      </c>
      <c r="O224" t="str">
        <f t="shared" si="7"/>
        <v>25-34</v>
      </c>
    </row>
    <row r="225" spans="1:15" x14ac:dyDescent="0.25">
      <c r="A225" t="s">
        <v>386</v>
      </c>
      <c r="B225" s="2">
        <v>45740</v>
      </c>
      <c r="C225" t="s">
        <v>108</v>
      </c>
      <c r="D225" t="s">
        <v>101</v>
      </c>
      <c r="E225" t="s">
        <v>16</v>
      </c>
      <c r="F225">
        <v>41</v>
      </c>
      <c r="G225" t="s">
        <v>63</v>
      </c>
      <c r="H225" t="s">
        <v>64</v>
      </c>
      <c r="I225" t="s">
        <v>30</v>
      </c>
      <c r="J225" t="s">
        <v>31</v>
      </c>
      <c r="K225">
        <v>5</v>
      </c>
      <c r="L225">
        <v>1200</v>
      </c>
      <c r="M225">
        <v>6000</v>
      </c>
      <c r="N225" t="str">
        <f t="shared" si="6"/>
        <v>Mar</v>
      </c>
      <c r="O225" t="str">
        <f t="shared" si="7"/>
        <v>35-44</v>
      </c>
    </row>
    <row r="226" spans="1:15" x14ac:dyDescent="0.25">
      <c r="A226" t="s">
        <v>387</v>
      </c>
      <c r="B226" s="2">
        <v>45995</v>
      </c>
      <c r="C226" t="s">
        <v>105</v>
      </c>
      <c r="D226" t="s">
        <v>152</v>
      </c>
      <c r="E226" t="s">
        <v>16</v>
      </c>
      <c r="F226">
        <v>51</v>
      </c>
      <c r="G226" t="s">
        <v>34</v>
      </c>
      <c r="H226" t="s">
        <v>18</v>
      </c>
      <c r="I226" t="s">
        <v>30</v>
      </c>
      <c r="J226" t="s">
        <v>175</v>
      </c>
      <c r="K226">
        <v>1</v>
      </c>
      <c r="L226">
        <v>1800</v>
      </c>
      <c r="M226">
        <v>1800</v>
      </c>
      <c r="N226" t="str">
        <f t="shared" si="6"/>
        <v>Dec</v>
      </c>
      <c r="O226" t="str">
        <f t="shared" si="7"/>
        <v>45+</v>
      </c>
    </row>
    <row r="227" spans="1:15" x14ac:dyDescent="0.25">
      <c r="A227" t="s">
        <v>388</v>
      </c>
      <c r="B227" s="2">
        <v>45938</v>
      </c>
      <c r="C227" t="s">
        <v>230</v>
      </c>
      <c r="D227" t="s">
        <v>62</v>
      </c>
      <c r="E227" t="s">
        <v>16</v>
      </c>
      <c r="F227">
        <v>54</v>
      </c>
      <c r="G227" t="s">
        <v>137</v>
      </c>
      <c r="H227" t="s">
        <v>137</v>
      </c>
      <c r="I227" t="s">
        <v>65</v>
      </c>
      <c r="J227" t="s">
        <v>66</v>
      </c>
      <c r="K227">
        <v>3</v>
      </c>
      <c r="L227">
        <v>500</v>
      </c>
      <c r="M227">
        <v>1500</v>
      </c>
      <c r="N227" t="str">
        <f t="shared" si="6"/>
        <v>Oct</v>
      </c>
      <c r="O227" t="str">
        <f t="shared" si="7"/>
        <v>45+</v>
      </c>
    </row>
    <row r="228" spans="1:15" x14ac:dyDescent="0.25">
      <c r="A228" t="s">
        <v>389</v>
      </c>
      <c r="B228" s="2">
        <v>45981</v>
      </c>
      <c r="C228" t="s">
        <v>51</v>
      </c>
      <c r="D228" t="s">
        <v>69</v>
      </c>
      <c r="E228" t="s">
        <v>24</v>
      </c>
      <c r="F228">
        <v>40</v>
      </c>
      <c r="G228" t="s">
        <v>34</v>
      </c>
      <c r="H228" t="s">
        <v>18</v>
      </c>
      <c r="I228" t="s">
        <v>65</v>
      </c>
      <c r="J228" t="s">
        <v>146</v>
      </c>
      <c r="K228">
        <v>4</v>
      </c>
      <c r="L228">
        <v>300</v>
      </c>
      <c r="M228">
        <v>1200</v>
      </c>
      <c r="N228" t="str">
        <f t="shared" si="6"/>
        <v>Nov</v>
      </c>
      <c r="O228" t="str">
        <f t="shared" si="7"/>
        <v>35-44</v>
      </c>
    </row>
    <row r="229" spans="1:15" x14ac:dyDescent="0.25">
      <c r="A229" t="s">
        <v>390</v>
      </c>
      <c r="B229" s="2">
        <v>45702</v>
      </c>
      <c r="C229" t="s">
        <v>82</v>
      </c>
      <c r="D229" t="s">
        <v>97</v>
      </c>
      <c r="E229" t="s">
        <v>24</v>
      </c>
      <c r="F229">
        <v>38</v>
      </c>
      <c r="G229" t="s">
        <v>63</v>
      </c>
      <c r="H229" t="s">
        <v>64</v>
      </c>
      <c r="I229" t="s">
        <v>39</v>
      </c>
      <c r="J229" t="s">
        <v>40</v>
      </c>
      <c r="K229">
        <v>1</v>
      </c>
      <c r="L229">
        <v>350</v>
      </c>
      <c r="M229">
        <v>350</v>
      </c>
      <c r="N229" t="str">
        <f t="shared" si="6"/>
        <v>Feb</v>
      </c>
      <c r="O229" t="str">
        <f t="shared" si="7"/>
        <v>35-44</v>
      </c>
    </row>
    <row r="230" spans="1:15" x14ac:dyDescent="0.25">
      <c r="A230" t="s">
        <v>391</v>
      </c>
      <c r="B230" s="2">
        <v>45945</v>
      </c>
      <c r="C230" t="s">
        <v>123</v>
      </c>
      <c r="D230" t="s">
        <v>62</v>
      </c>
      <c r="E230" t="s">
        <v>16</v>
      </c>
      <c r="F230">
        <v>29</v>
      </c>
      <c r="G230" t="s">
        <v>17</v>
      </c>
      <c r="H230" t="s">
        <v>18</v>
      </c>
      <c r="I230" t="s">
        <v>30</v>
      </c>
      <c r="J230" t="s">
        <v>31</v>
      </c>
      <c r="K230">
        <v>3</v>
      </c>
      <c r="L230">
        <v>1200</v>
      </c>
      <c r="M230">
        <v>3600</v>
      </c>
      <c r="N230" t="str">
        <f t="shared" si="6"/>
        <v>Oct</v>
      </c>
      <c r="O230" t="str">
        <f t="shared" si="7"/>
        <v>25-34</v>
      </c>
    </row>
    <row r="231" spans="1:15" x14ac:dyDescent="0.25">
      <c r="A231" t="s">
        <v>392</v>
      </c>
      <c r="B231" s="2">
        <v>45694</v>
      </c>
      <c r="C231" t="s">
        <v>393</v>
      </c>
      <c r="D231" t="s">
        <v>52</v>
      </c>
      <c r="E231" t="s">
        <v>24</v>
      </c>
      <c r="F231">
        <v>50</v>
      </c>
      <c r="G231" t="s">
        <v>70</v>
      </c>
      <c r="H231" t="s">
        <v>18</v>
      </c>
      <c r="I231" t="s">
        <v>19</v>
      </c>
      <c r="J231" t="s">
        <v>85</v>
      </c>
      <c r="K231">
        <v>4</v>
      </c>
      <c r="L231">
        <v>800</v>
      </c>
      <c r="M231">
        <v>3200</v>
      </c>
      <c r="N231" t="str">
        <f t="shared" si="6"/>
        <v>Feb</v>
      </c>
      <c r="O231" t="str">
        <f t="shared" si="7"/>
        <v>45+</v>
      </c>
    </row>
    <row r="232" spans="1:15" x14ac:dyDescent="0.25">
      <c r="A232" t="s">
        <v>394</v>
      </c>
      <c r="B232" s="2">
        <v>45737</v>
      </c>
      <c r="C232" t="s">
        <v>42</v>
      </c>
      <c r="D232" t="s">
        <v>152</v>
      </c>
      <c r="E232" t="s">
        <v>16</v>
      </c>
      <c r="F232">
        <v>38</v>
      </c>
      <c r="G232" t="s">
        <v>75</v>
      </c>
      <c r="H232" t="s">
        <v>49</v>
      </c>
      <c r="I232" t="s">
        <v>30</v>
      </c>
      <c r="J232" t="s">
        <v>35</v>
      </c>
      <c r="K232">
        <v>1</v>
      </c>
      <c r="L232">
        <v>700</v>
      </c>
      <c r="M232">
        <v>700</v>
      </c>
      <c r="N232" t="str">
        <f t="shared" si="6"/>
        <v>Mar</v>
      </c>
      <c r="O232" t="str">
        <f t="shared" si="7"/>
        <v>35-44</v>
      </c>
    </row>
    <row r="233" spans="1:15" x14ac:dyDescent="0.25">
      <c r="A233" t="s">
        <v>395</v>
      </c>
      <c r="B233" s="2">
        <v>45923</v>
      </c>
      <c r="C233" t="s">
        <v>28</v>
      </c>
      <c r="D233" t="s">
        <v>78</v>
      </c>
      <c r="E233" t="s">
        <v>16</v>
      </c>
      <c r="F233">
        <v>43</v>
      </c>
      <c r="G233" t="s">
        <v>48</v>
      </c>
      <c r="H233" t="s">
        <v>49</v>
      </c>
      <c r="I233" t="s">
        <v>39</v>
      </c>
      <c r="J233" t="s">
        <v>94</v>
      </c>
      <c r="K233">
        <v>2</v>
      </c>
      <c r="L233">
        <v>600</v>
      </c>
      <c r="M233">
        <v>1200</v>
      </c>
      <c r="N233" t="str">
        <f t="shared" si="6"/>
        <v>Sep</v>
      </c>
      <c r="O233" t="str">
        <f t="shared" si="7"/>
        <v>35-44</v>
      </c>
    </row>
    <row r="234" spans="1:15" x14ac:dyDescent="0.25">
      <c r="A234" t="s">
        <v>396</v>
      </c>
      <c r="B234" s="2">
        <v>45771</v>
      </c>
      <c r="C234" t="s">
        <v>283</v>
      </c>
      <c r="D234" t="s">
        <v>93</v>
      </c>
      <c r="E234" t="s">
        <v>24</v>
      </c>
      <c r="F234">
        <v>25</v>
      </c>
      <c r="G234" t="s">
        <v>70</v>
      </c>
      <c r="H234" t="s">
        <v>18</v>
      </c>
      <c r="I234" t="s">
        <v>30</v>
      </c>
      <c r="J234" t="s">
        <v>35</v>
      </c>
      <c r="K234">
        <v>5</v>
      </c>
      <c r="L234">
        <v>700</v>
      </c>
      <c r="M234">
        <v>3500</v>
      </c>
      <c r="N234" t="str">
        <f t="shared" si="6"/>
        <v>Apr</v>
      </c>
      <c r="O234" t="str">
        <f t="shared" si="7"/>
        <v>25-34</v>
      </c>
    </row>
    <row r="235" spans="1:15" x14ac:dyDescent="0.25">
      <c r="A235" t="s">
        <v>397</v>
      </c>
      <c r="B235" s="2">
        <v>45683</v>
      </c>
      <c r="C235" t="s">
        <v>398</v>
      </c>
      <c r="D235" t="s">
        <v>93</v>
      </c>
      <c r="E235" t="s">
        <v>24</v>
      </c>
      <c r="F235">
        <v>32</v>
      </c>
      <c r="G235" t="s">
        <v>25</v>
      </c>
      <c r="H235" t="s">
        <v>26</v>
      </c>
      <c r="I235" t="s">
        <v>39</v>
      </c>
      <c r="J235" t="s">
        <v>40</v>
      </c>
      <c r="K235">
        <v>3</v>
      </c>
      <c r="L235">
        <v>350</v>
      </c>
      <c r="M235">
        <v>1050</v>
      </c>
      <c r="N235" t="str">
        <f t="shared" si="6"/>
        <v>Jan</v>
      </c>
      <c r="O235" t="str">
        <f t="shared" si="7"/>
        <v>25-34</v>
      </c>
    </row>
    <row r="236" spans="1:15" x14ac:dyDescent="0.25">
      <c r="A236" t="s">
        <v>399</v>
      </c>
      <c r="B236" s="2">
        <v>45666</v>
      </c>
      <c r="C236" t="s">
        <v>275</v>
      </c>
      <c r="D236" t="s">
        <v>69</v>
      </c>
      <c r="E236" t="s">
        <v>24</v>
      </c>
      <c r="F236">
        <v>47</v>
      </c>
      <c r="G236" t="s">
        <v>48</v>
      </c>
      <c r="H236" t="s">
        <v>49</v>
      </c>
      <c r="I236" t="s">
        <v>39</v>
      </c>
      <c r="J236" t="s">
        <v>53</v>
      </c>
      <c r="K236">
        <v>1</v>
      </c>
      <c r="L236">
        <v>800</v>
      </c>
      <c r="M236">
        <v>800</v>
      </c>
      <c r="N236" t="str">
        <f t="shared" si="6"/>
        <v>Jan</v>
      </c>
      <c r="O236" t="str">
        <f t="shared" si="7"/>
        <v>45+</v>
      </c>
    </row>
    <row r="237" spans="1:15" x14ac:dyDescent="0.25">
      <c r="A237" t="s">
        <v>400</v>
      </c>
      <c r="B237" s="2">
        <v>45887</v>
      </c>
      <c r="C237" t="s">
        <v>319</v>
      </c>
      <c r="D237" t="s">
        <v>23</v>
      </c>
      <c r="E237" t="s">
        <v>24</v>
      </c>
      <c r="F237">
        <v>30</v>
      </c>
      <c r="G237" t="s">
        <v>34</v>
      </c>
      <c r="H237" t="s">
        <v>18</v>
      </c>
      <c r="I237" t="s">
        <v>39</v>
      </c>
      <c r="J237" t="s">
        <v>94</v>
      </c>
      <c r="K237">
        <v>3</v>
      </c>
      <c r="L237">
        <v>600</v>
      </c>
      <c r="M237">
        <v>1800</v>
      </c>
      <c r="N237" t="str">
        <f t="shared" si="6"/>
        <v>Aug</v>
      </c>
      <c r="O237" t="str">
        <f t="shared" si="7"/>
        <v>25-34</v>
      </c>
    </row>
    <row r="238" spans="1:15" x14ac:dyDescent="0.25">
      <c r="A238" t="s">
        <v>401</v>
      </c>
      <c r="B238" s="2">
        <v>45671</v>
      </c>
      <c r="C238" t="s">
        <v>82</v>
      </c>
      <c r="D238" t="s">
        <v>152</v>
      </c>
      <c r="E238" t="s">
        <v>16</v>
      </c>
      <c r="F238">
        <v>48</v>
      </c>
      <c r="G238" t="s">
        <v>34</v>
      </c>
      <c r="H238" t="s">
        <v>18</v>
      </c>
      <c r="I238" t="s">
        <v>79</v>
      </c>
      <c r="J238" t="s">
        <v>188</v>
      </c>
      <c r="K238">
        <v>5</v>
      </c>
      <c r="L238">
        <v>1800</v>
      </c>
      <c r="M238">
        <v>9000</v>
      </c>
      <c r="N238" t="str">
        <f t="shared" si="6"/>
        <v>Jan</v>
      </c>
      <c r="O238" t="str">
        <f t="shared" si="7"/>
        <v>45+</v>
      </c>
    </row>
    <row r="239" spans="1:15" x14ac:dyDescent="0.25">
      <c r="A239" t="s">
        <v>402</v>
      </c>
      <c r="B239" s="2">
        <v>45757</v>
      </c>
      <c r="C239" t="s">
        <v>33</v>
      </c>
      <c r="D239" t="s">
        <v>93</v>
      </c>
      <c r="E239" t="s">
        <v>24</v>
      </c>
      <c r="F239">
        <v>42</v>
      </c>
      <c r="G239" t="s">
        <v>43</v>
      </c>
      <c r="H239" t="s">
        <v>44</v>
      </c>
      <c r="I239" t="s">
        <v>19</v>
      </c>
      <c r="J239" t="s">
        <v>45</v>
      </c>
      <c r="K239">
        <v>3</v>
      </c>
      <c r="L239">
        <v>1500</v>
      </c>
      <c r="M239">
        <v>4500</v>
      </c>
      <c r="N239" t="str">
        <f t="shared" si="6"/>
        <v>Apr</v>
      </c>
      <c r="O239" t="str">
        <f t="shared" si="7"/>
        <v>35-44</v>
      </c>
    </row>
    <row r="240" spans="1:15" x14ac:dyDescent="0.25">
      <c r="A240" t="s">
        <v>403</v>
      </c>
      <c r="B240" s="2">
        <v>45933</v>
      </c>
      <c r="C240" t="s">
        <v>14</v>
      </c>
      <c r="D240" t="s">
        <v>78</v>
      </c>
      <c r="E240" t="s">
        <v>16</v>
      </c>
      <c r="F240">
        <v>39</v>
      </c>
      <c r="G240" t="s">
        <v>75</v>
      </c>
      <c r="H240" t="s">
        <v>49</v>
      </c>
      <c r="I240" t="s">
        <v>79</v>
      </c>
      <c r="J240" t="s">
        <v>188</v>
      </c>
      <c r="K240">
        <v>4</v>
      </c>
      <c r="L240">
        <v>1800</v>
      </c>
      <c r="M240">
        <v>7200</v>
      </c>
      <c r="N240" t="str">
        <f t="shared" si="6"/>
        <v>Oct</v>
      </c>
      <c r="O240" t="str">
        <f t="shared" si="7"/>
        <v>35-44</v>
      </c>
    </row>
    <row r="241" spans="1:15" x14ac:dyDescent="0.25">
      <c r="A241" t="s">
        <v>404</v>
      </c>
      <c r="B241" s="2">
        <v>45766</v>
      </c>
      <c r="C241" t="s">
        <v>184</v>
      </c>
      <c r="D241" t="s">
        <v>90</v>
      </c>
      <c r="E241" t="s">
        <v>24</v>
      </c>
      <c r="F241">
        <v>23</v>
      </c>
      <c r="G241" t="s">
        <v>63</v>
      </c>
      <c r="H241" t="s">
        <v>64</v>
      </c>
      <c r="I241" t="s">
        <v>65</v>
      </c>
      <c r="J241" t="s">
        <v>146</v>
      </c>
      <c r="K241">
        <v>2</v>
      </c>
      <c r="L241">
        <v>300</v>
      </c>
      <c r="M241">
        <v>600</v>
      </c>
      <c r="N241" t="str">
        <f t="shared" si="6"/>
        <v>Apr</v>
      </c>
      <c r="O241" t="str">
        <f t="shared" si="7"/>
        <v>18-24</v>
      </c>
    </row>
    <row r="242" spans="1:15" x14ac:dyDescent="0.25">
      <c r="A242" t="s">
        <v>405</v>
      </c>
      <c r="B242" s="2">
        <v>45688</v>
      </c>
      <c r="C242" t="s">
        <v>82</v>
      </c>
      <c r="D242" t="s">
        <v>152</v>
      </c>
      <c r="E242" t="s">
        <v>16</v>
      </c>
      <c r="F242">
        <v>50</v>
      </c>
      <c r="G242" t="s">
        <v>43</v>
      </c>
      <c r="H242" t="s">
        <v>44</v>
      </c>
      <c r="I242" t="s">
        <v>65</v>
      </c>
      <c r="J242" t="s">
        <v>121</v>
      </c>
      <c r="K242">
        <v>1</v>
      </c>
      <c r="L242">
        <v>900</v>
      </c>
      <c r="M242">
        <v>900</v>
      </c>
      <c r="N242" t="str">
        <f t="shared" si="6"/>
        <v>Jan</v>
      </c>
      <c r="O242" t="str">
        <f t="shared" si="7"/>
        <v>45+</v>
      </c>
    </row>
    <row r="243" spans="1:15" x14ac:dyDescent="0.25">
      <c r="A243" t="s">
        <v>406</v>
      </c>
      <c r="B243" s="2">
        <v>45911</v>
      </c>
      <c r="C243" t="s">
        <v>257</v>
      </c>
      <c r="D243" t="s">
        <v>83</v>
      </c>
      <c r="E243" t="s">
        <v>16</v>
      </c>
      <c r="F243">
        <v>25</v>
      </c>
      <c r="G243" t="s">
        <v>75</v>
      </c>
      <c r="H243" t="s">
        <v>49</v>
      </c>
      <c r="I243" t="s">
        <v>79</v>
      </c>
      <c r="J243" t="s">
        <v>188</v>
      </c>
      <c r="K243">
        <v>1</v>
      </c>
      <c r="L243">
        <v>1800</v>
      </c>
      <c r="M243">
        <v>1800</v>
      </c>
      <c r="N243" t="str">
        <f t="shared" si="6"/>
        <v>Sep</v>
      </c>
      <c r="O243" t="str">
        <f t="shared" si="7"/>
        <v>25-34</v>
      </c>
    </row>
    <row r="244" spans="1:15" x14ac:dyDescent="0.25">
      <c r="A244" t="s">
        <v>407</v>
      </c>
      <c r="B244" s="2">
        <v>45943</v>
      </c>
      <c r="C244" t="s">
        <v>51</v>
      </c>
      <c r="D244" t="s">
        <v>15</v>
      </c>
      <c r="E244" t="s">
        <v>16</v>
      </c>
      <c r="F244">
        <v>20</v>
      </c>
      <c r="G244" t="s">
        <v>34</v>
      </c>
      <c r="H244" t="s">
        <v>18</v>
      </c>
      <c r="I244" t="s">
        <v>79</v>
      </c>
      <c r="J244" t="s">
        <v>114</v>
      </c>
      <c r="K244">
        <v>1</v>
      </c>
      <c r="L244">
        <v>2500</v>
      </c>
      <c r="M244">
        <v>2500</v>
      </c>
      <c r="N244" t="str">
        <f t="shared" si="6"/>
        <v>Oct</v>
      </c>
      <c r="O244" t="str">
        <f t="shared" si="7"/>
        <v>18-24</v>
      </c>
    </row>
    <row r="245" spans="1:15" x14ac:dyDescent="0.25">
      <c r="A245" t="s">
        <v>408</v>
      </c>
      <c r="B245" s="2">
        <v>45761</v>
      </c>
      <c r="C245" t="s">
        <v>174</v>
      </c>
      <c r="D245" t="s">
        <v>90</v>
      </c>
      <c r="E245" t="s">
        <v>24</v>
      </c>
      <c r="F245">
        <v>30</v>
      </c>
      <c r="G245" t="s">
        <v>38</v>
      </c>
      <c r="H245" t="s">
        <v>26</v>
      </c>
      <c r="I245" t="s">
        <v>19</v>
      </c>
      <c r="J245" t="s">
        <v>45</v>
      </c>
      <c r="K245">
        <v>3</v>
      </c>
      <c r="L245">
        <v>1500</v>
      </c>
      <c r="M245">
        <v>4500</v>
      </c>
      <c r="N245" t="str">
        <f t="shared" si="6"/>
        <v>Apr</v>
      </c>
      <c r="O245" t="str">
        <f t="shared" si="7"/>
        <v>25-34</v>
      </c>
    </row>
    <row r="246" spans="1:15" x14ac:dyDescent="0.25">
      <c r="A246" t="s">
        <v>409</v>
      </c>
      <c r="B246" s="2">
        <v>45926</v>
      </c>
      <c r="C246" t="s">
        <v>22</v>
      </c>
      <c r="D246" t="s">
        <v>62</v>
      </c>
      <c r="E246" t="s">
        <v>16</v>
      </c>
      <c r="F246">
        <v>48</v>
      </c>
      <c r="G246" t="s">
        <v>75</v>
      </c>
      <c r="H246" t="s">
        <v>49</v>
      </c>
      <c r="I246" t="s">
        <v>39</v>
      </c>
      <c r="J246" t="s">
        <v>94</v>
      </c>
      <c r="K246">
        <v>1</v>
      </c>
      <c r="L246">
        <v>600</v>
      </c>
      <c r="M246">
        <v>600</v>
      </c>
      <c r="N246" t="str">
        <f t="shared" si="6"/>
        <v>Sep</v>
      </c>
      <c r="O246" t="str">
        <f t="shared" si="7"/>
        <v>45+</v>
      </c>
    </row>
    <row r="247" spans="1:15" x14ac:dyDescent="0.25">
      <c r="A247" t="s">
        <v>410</v>
      </c>
      <c r="B247" s="2">
        <v>45844</v>
      </c>
      <c r="C247" t="s">
        <v>255</v>
      </c>
      <c r="D247" t="s">
        <v>124</v>
      </c>
      <c r="E247" t="s">
        <v>24</v>
      </c>
      <c r="F247">
        <v>28</v>
      </c>
      <c r="G247" t="s">
        <v>38</v>
      </c>
      <c r="H247" t="s">
        <v>26</v>
      </c>
      <c r="I247" t="s">
        <v>39</v>
      </c>
      <c r="J247" t="s">
        <v>60</v>
      </c>
      <c r="K247">
        <v>2</v>
      </c>
      <c r="L247">
        <v>1500</v>
      </c>
      <c r="M247">
        <v>3000</v>
      </c>
      <c r="N247" t="str">
        <f t="shared" si="6"/>
        <v>Jul</v>
      </c>
      <c r="O247" t="str">
        <f t="shared" si="7"/>
        <v>25-34</v>
      </c>
    </row>
    <row r="248" spans="1:15" x14ac:dyDescent="0.25">
      <c r="A248" t="s">
        <v>411</v>
      </c>
      <c r="B248" s="2">
        <v>45786</v>
      </c>
      <c r="C248" t="s">
        <v>283</v>
      </c>
      <c r="D248" t="s">
        <v>97</v>
      </c>
      <c r="E248" t="s">
        <v>24</v>
      </c>
      <c r="F248">
        <v>33</v>
      </c>
      <c r="G248" t="s">
        <v>63</v>
      </c>
      <c r="H248" t="s">
        <v>64</v>
      </c>
      <c r="I248" t="s">
        <v>65</v>
      </c>
      <c r="J248" t="s">
        <v>121</v>
      </c>
      <c r="K248">
        <v>4</v>
      </c>
      <c r="L248">
        <v>900</v>
      </c>
      <c r="M248">
        <v>3600</v>
      </c>
      <c r="N248" t="str">
        <f t="shared" si="6"/>
        <v>May</v>
      </c>
      <c r="O248" t="str">
        <f t="shared" si="7"/>
        <v>25-34</v>
      </c>
    </row>
    <row r="249" spans="1:15" x14ac:dyDescent="0.25">
      <c r="A249" t="s">
        <v>412</v>
      </c>
      <c r="B249" s="2">
        <v>45862</v>
      </c>
      <c r="C249" t="s">
        <v>283</v>
      </c>
      <c r="D249" t="s">
        <v>83</v>
      </c>
      <c r="E249" t="s">
        <v>16</v>
      </c>
      <c r="F249">
        <v>45</v>
      </c>
      <c r="G249" t="s">
        <v>137</v>
      </c>
      <c r="H249" t="s">
        <v>137</v>
      </c>
      <c r="I249" t="s">
        <v>19</v>
      </c>
      <c r="J249" t="s">
        <v>20</v>
      </c>
      <c r="K249">
        <v>3</v>
      </c>
      <c r="L249">
        <v>5000</v>
      </c>
      <c r="M249">
        <v>15000</v>
      </c>
      <c r="N249" t="str">
        <f t="shared" si="6"/>
        <v>Jul</v>
      </c>
      <c r="O249" t="str">
        <f t="shared" si="7"/>
        <v>45+</v>
      </c>
    </row>
    <row r="250" spans="1:15" x14ac:dyDescent="0.25">
      <c r="A250" t="s">
        <v>413</v>
      </c>
      <c r="B250" s="2">
        <v>45833</v>
      </c>
      <c r="C250" t="s">
        <v>42</v>
      </c>
      <c r="D250" t="s">
        <v>62</v>
      </c>
      <c r="E250" t="s">
        <v>16</v>
      </c>
      <c r="F250">
        <v>30</v>
      </c>
      <c r="G250" t="s">
        <v>25</v>
      </c>
      <c r="H250" t="s">
        <v>26</v>
      </c>
      <c r="I250" t="s">
        <v>30</v>
      </c>
      <c r="J250" t="s">
        <v>31</v>
      </c>
      <c r="K250">
        <v>3</v>
      </c>
      <c r="L250">
        <v>1200</v>
      </c>
      <c r="M250">
        <v>3600</v>
      </c>
      <c r="N250" t="str">
        <f t="shared" si="6"/>
        <v>Jun</v>
      </c>
      <c r="O250" t="str">
        <f t="shared" si="7"/>
        <v>25-34</v>
      </c>
    </row>
    <row r="251" spans="1:15" x14ac:dyDescent="0.25">
      <c r="A251" t="s">
        <v>414</v>
      </c>
      <c r="B251" s="2">
        <v>45950</v>
      </c>
      <c r="C251" t="s">
        <v>241</v>
      </c>
      <c r="D251" t="s">
        <v>124</v>
      </c>
      <c r="E251" t="s">
        <v>24</v>
      </c>
      <c r="F251">
        <v>28</v>
      </c>
      <c r="G251" t="s">
        <v>63</v>
      </c>
      <c r="H251" t="s">
        <v>64</v>
      </c>
      <c r="I251" t="s">
        <v>30</v>
      </c>
      <c r="J251" t="s">
        <v>71</v>
      </c>
      <c r="K251">
        <v>5</v>
      </c>
      <c r="L251">
        <v>900</v>
      </c>
      <c r="M251">
        <v>4500</v>
      </c>
      <c r="N251" t="str">
        <f t="shared" si="6"/>
        <v>Oct</v>
      </c>
      <c r="O251" t="str">
        <f t="shared" si="7"/>
        <v>25-34</v>
      </c>
    </row>
    <row r="252" spans="1:15" x14ac:dyDescent="0.25">
      <c r="A252" t="s">
        <v>415</v>
      </c>
      <c r="B252" s="2">
        <v>45931</v>
      </c>
      <c r="C252" t="s">
        <v>156</v>
      </c>
      <c r="D252" t="s">
        <v>74</v>
      </c>
      <c r="E252" t="s">
        <v>16</v>
      </c>
      <c r="F252">
        <v>22</v>
      </c>
      <c r="G252" t="s">
        <v>17</v>
      </c>
      <c r="H252" t="s">
        <v>18</v>
      </c>
      <c r="I252" t="s">
        <v>30</v>
      </c>
      <c r="J252" t="s">
        <v>35</v>
      </c>
      <c r="K252">
        <v>4</v>
      </c>
      <c r="L252">
        <v>700</v>
      </c>
      <c r="M252">
        <v>2800</v>
      </c>
      <c r="N252" t="str">
        <f t="shared" si="6"/>
        <v>Oct</v>
      </c>
      <c r="O252" t="str">
        <f t="shared" si="7"/>
        <v>18-24</v>
      </c>
    </row>
    <row r="253" spans="1:15" x14ac:dyDescent="0.25">
      <c r="A253" t="s">
        <v>416</v>
      </c>
      <c r="B253" s="2">
        <v>45739</v>
      </c>
      <c r="C253" t="s">
        <v>195</v>
      </c>
      <c r="D253" t="s">
        <v>52</v>
      </c>
      <c r="E253" t="s">
        <v>24</v>
      </c>
      <c r="F253">
        <v>34</v>
      </c>
      <c r="G253" t="s">
        <v>137</v>
      </c>
      <c r="H253" t="s">
        <v>137</v>
      </c>
      <c r="I253" t="s">
        <v>39</v>
      </c>
      <c r="J253" t="s">
        <v>94</v>
      </c>
      <c r="K253">
        <v>1</v>
      </c>
      <c r="L253">
        <v>600</v>
      </c>
      <c r="M253">
        <v>600</v>
      </c>
      <c r="N253" t="str">
        <f t="shared" si="6"/>
        <v>Mar</v>
      </c>
      <c r="O253" t="str">
        <f t="shared" si="7"/>
        <v>25-34</v>
      </c>
    </row>
    <row r="254" spans="1:15" x14ac:dyDescent="0.25">
      <c r="A254" t="s">
        <v>417</v>
      </c>
      <c r="B254" s="2">
        <v>45837</v>
      </c>
      <c r="C254" t="s">
        <v>22</v>
      </c>
      <c r="D254" t="s">
        <v>56</v>
      </c>
      <c r="E254" t="s">
        <v>16</v>
      </c>
      <c r="F254">
        <v>21</v>
      </c>
      <c r="G254" t="s">
        <v>137</v>
      </c>
      <c r="H254" t="s">
        <v>137</v>
      </c>
      <c r="I254" t="s">
        <v>30</v>
      </c>
      <c r="J254" t="s">
        <v>175</v>
      </c>
      <c r="K254">
        <v>4</v>
      </c>
      <c r="L254">
        <v>1800</v>
      </c>
      <c r="M254">
        <v>7200</v>
      </c>
      <c r="N254" t="str">
        <f t="shared" si="6"/>
        <v>Jun</v>
      </c>
      <c r="O254" t="str">
        <f t="shared" si="7"/>
        <v>18-24</v>
      </c>
    </row>
    <row r="255" spans="1:15" x14ac:dyDescent="0.25">
      <c r="A255" t="s">
        <v>418</v>
      </c>
      <c r="B255" s="2">
        <v>45713</v>
      </c>
      <c r="C255" t="s">
        <v>283</v>
      </c>
      <c r="D255" t="s">
        <v>15</v>
      </c>
      <c r="E255" t="s">
        <v>16</v>
      </c>
      <c r="F255">
        <v>38</v>
      </c>
      <c r="G255" t="s">
        <v>25</v>
      </c>
      <c r="H255" t="s">
        <v>26</v>
      </c>
      <c r="I255" t="s">
        <v>65</v>
      </c>
      <c r="J255" t="s">
        <v>125</v>
      </c>
      <c r="K255">
        <v>5</v>
      </c>
      <c r="L255">
        <v>700</v>
      </c>
      <c r="M255">
        <v>3500</v>
      </c>
      <c r="N255" t="str">
        <f t="shared" si="6"/>
        <v>Feb</v>
      </c>
      <c r="O255" t="str">
        <f t="shared" si="7"/>
        <v>35-44</v>
      </c>
    </row>
    <row r="256" spans="1:15" x14ac:dyDescent="0.25">
      <c r="A256" t="s">
        <v>419</v>
      </c>
      <c r="B256" s="2">
        <v>45914</v>
      </c>
      <c r="C256" t="s">
        <v>96</v>
      </c>
      <c r="D256" t="s">
        <v>15</v>
      </c>
      <c r="E256" t="s">
        <v>16</v>
      </c>
      <c r="F256">
        <v>22</v>
      </c>
      <c r="G256" t="s">
        <v>43</v>
      </c>
      <c r="H256" t="s">
        <v>44</v>
      </c>
      <c r="I256" t="s">
        <v>30</v>
      </c>
      <c r="J256" t="s">
        <v>35</v>
      </c>
      <c r="K256">
        <v>4</v>
      </c>
      <c r="L256">
        <v>700</v>
      </c>
      <c r="M256">
        <v>2800</v>
      </c>
      <c r="N256" t="str">
        <f t="shared" si="6"/>
        <v>Sep</v>
      </c>
      <c r="O256" t="str">
        <f t="shared" si="7"/>
        <v>18-24</v>
      </c>
    </row>
    <row r="257" spans="1:15" x14ac:dyDescent="0.25">
      <c r="A257" t="s">
        <v>420</v>
      </c>
      <c r="B257" s="2">
        <v>45682</v>
      </c>
      <c r="C257" t="s">
        <v>134</v>
      </c>
      <c r="D257" t="s">
        <v>15</v>
      </c>
      <c r="E257" t="s">
        <v>16</v>
      </c>
      <c r="F257">
        <v>32</v>
      </c>
      <c r="G257" t="s">
        <v>137</v>
      </c>
      <c r="H257" t="s">
        <v>137</v>
      </c>
      <c r="I257" t="s">
        <v>79</v>
      </c>
      <c r="J257" t="s">
        <v>80</v>
      </c>
      <c r="K257">
        <v>2</v>
      </c>
      <c r="L257">
        <v>600</v>
      </c>
      <c r="M257">
        <v>1200</v>
      </c>
      <c r="N257" t="str">
        <f t="shared" si="6"/>
        <v>Jan</v>
      </c>
      <c r="O257" t="str">
        <f t="shared" si="7"/>
        <v>25-34</v>
      </c>
    </row>
    <row r="258" spans="1:15" x14ac:dyDescent="0.25">
      <c r="A258" t="s">
        <v>421</v>
      </c>
      <c r="B258" s="2">
        <v>45987</v>
      </c>
      <c r="C258" t="s">
        <v>368</v>
      </c>
      <c r="D258" t="s">
        <v>59</v>
      </c>
      <c r="E258" t="s">
        <v>24</v>
      </c>
      <c r="F258">
        <v>44</v>
      </c>
      <c r="G258" t="s">
        <v>137</v>
      </c>
      <c r="H258" t="s">
        <v>137</v>
      </c>
      <c r="I258" t="s">
        <v>30</v>
      </c>
      <c r="J258" t="s">
        <v>31</v>
      </c>
      <c r="K258">
        <v>1</v>
      </c>
      <c r="L258">
        <v>1200</v>
      </c>
      <c r="M258">
        <v>1200</v>
      </c>
      <c r="N258" t="str">
        <f t="shared" si="6"/>
        <v>Nov</v>
      </c>
      <c r="O258" t="str">
        <f t="shared" si="7"/>
        <v>35-44</v>
      </c>
    </row>
    <row r="259" spans="1:15" x14ac:dyDescent="0.25">
      <c r="A259" t="s">
        <v>422</v>
      </c>
      <c r="B259" s="2">
        <v>45786</v>
      </c>
      <c r="C259" t="s">
        <v>324</v>
      </c>
      <c r="D259" t="s">
        <v>78</v>
      </c>
      <c r="E259" t="s">
        <v>16</v>
      </c>
      <c r="F259">
        <v>23</v>
      </c>
      <c r="G259" t="s">
        <v>75</v>
      </c>
      <c r="H259" t="s">
        <v>49</v>
      </c>
      <c r="I259" t="s">
        <v>39</v>
      </c>
      <c r="J259" t="s">
        <v>94</v>
      </c>
      <c r="K259">
        <v>4</v>
      </c>
      <c r="L259">
        <v>600</v>
      </c>
      <c r="M259">
        <v>2400</v>
      </c>
      <c r="N259" t="str">
        <f t="shared" ref="N259:N322" si="8">TEXT(B259,"mmm")</f>
        <v>May</v>
      </c>
      <c r="O259" t="str">
        <f t="shared" si="7"/>
        <v>18-24</v>
      </c>
    </row>
    <row r="260" spans="1:15" x14ac:dyDescent="0.25">
      <c r="A260" t="s">
        <v>423</v>
      </c>
      <c r="B260" s="2">
        <v>45770</v>
      </c>
      <c r="C260" t="s">
        <v>163</v>
      </c>
      <c r="D260" t="s">
        <v>118</v>
      </c>
      <c r="E260" t="s">
        <v>16</v>
      </c>
      <c r="F260">
        <v>41</v>
      </c>
      <c r="G260" t="s">
        <v>25</v>
      </c>
      <c r="H260" t="s">
        <v>26</v>
      </c>
      <c r="I260" t="s">
        <v>65</v>
      </c>
      <c r="J260" t="s">
        <v>125</v>
      </c>
      <c r="K260">
        <v>3</v>
      </c>
      <c r="L260">
        <v>700</v>
      </c>
      <c r="M260">
        <v>2100</v>
      </c>
      <c r="N260" t="str">
        <f t="shared" si="8"/>
        <v>Apr</v>
      </c>
      <c r="O260" t="str">
        <f t="shared" ref="O260:O323" si="9">IF(F260&lt;25,"18-24",IF(F260&lt;35,"25-34",IF(F260&lt;45,"35-44","45+")))</f>
        <v>35-44</v>
      </c>
    </row>
    <row r="261" spans="1:15" x14ac:dyDescent="0.25">
      <c r="A261" t="s">
        <v>424</v>
      </c>
      <c r="B261" s="2">
        <v>45928</v>
      </c>
      <c r="C261" t="s">
        <v>425</v>
      </c>
      <c r="D261" t="s">
        <v>90</v>
      </c>
      <c r="E261" t="s">
        <v>24</v>
      </c>
      <c r="F261">
        <v>44</v>
      </c>
      <c r="G261" t="s">
        <v>70</v>
      </c>
      <c r="H261" t="s">
        <v>18</v>
      </c>
      <c r="I261" t="s">
        <v>65</v>
      </c>
      <c r="J261" t="s">
        <v>125</v>
      </c>
      <c r="K261">
        <v>5</v>
      </c>
      <c r="L261">
        <v>700</v>
      </c>
      <c r="M261">
        <v>3500</v>
      </c>
      <c r="N261" t="str">
        <f t="shared" si="8"/>
        <v>Sep</v>
      </c>
      <c r="O261" t="str">
        <f t="shared" si="9"/>
        <v>35-44</v>
      </c>
    </row>
    <row r="262" spans="1:15" x14ac:dyDescent="0.25">
      <c r="A262" t="s">
        <v>426</v>
      </c>
      <c r="B262" s="2">
        <v>45888</v>
      </c>
      <c r="C262" t="s">
        <v>195</v>
      </c>
      <c r="D262" t="s">
        <v>118</v>
      </c>
      <c r="E262" t="s">
        <v>16</v>
      </c>
      <c r="F262">
        <v>40</v>
      </c>
      <c r="G262" t="s">
        <v>137</v>
      </c>
      <c r="H262" t="s">
        <v>137</v>
      </c>
      <c r="I262" t="s">
        <v>39</v>
      </c>
      <c r="J262" t="s">
        <v>60</v>
      </c>
      <c r="K262">
        <v>4</v>
      </c>
      <c r="L262">
        <v>1500</v>
      </c>
      <c r="M262">
        <v>6000</v>
      </c>
      <c r="N262" t="str">
        <f t="shared" si="8"/>
        <v>Aug</v>
      </c>
      <c r="O262" t="str">
        <f t="shared" si="9"/>
        <v>35-44</v>
      </c>
    </row>
    <row r="263" spans="1:15" x14ac:dyDescent="0.25">
      <c r="A263" t="s">
        <v>427</v>
      </c>
      <c r="B263" s="2">
        <v>45845</v>
      </c>
      <c r="C263" t="s">
        <v>393</v>
      </c>
      <c r="D263" t="s">
        <v>74</v>
      </c>
      <c r="E263" t="s">
        <v>16</v>
      </c>
      <c r="F263">
        <v>34</v>
      </c>
      <c r="G263" t="s">
        <v>70</v>
      </c>
      <c r="H263" t="s">
        <v>18</v>
      </c>
      <c r="I263" t="s">
        <v>39</v>
      </c>
      <c r="J263" t="s">
        <v>40</v>
      </c>
      <c r="K263">
        <v>4</v>
      </c>
      <c r="L263">
        <v>350</v>
      </c>
      <c r="M263">
        <v>1400</v>
      </c>
      <c r="N263" t="str">
        <f t="shared" si="8"/>
        <v>Jul</v>
      </c>
      <c r="O263" t="str">
        <f t="shared" si="9"/>
        <v>25-34</v>
      </c>
    </row>
    <row r="264" spans="1:15" x14ac:dyDescent="0.25">
      <c r="A264" t="s">
        <v>428</v>
      </c>
      <c r="B264" s="2">
        <v>45788</v>
      </c>
      <c r="C264" t="s">
        <v>324</v>
      </c>
      <c r="D264" t="s">
        <v>90</v>
      </c>
      <c r="E264" t="s">
        <v>24</v>
      </c>
      <c r="F264">
        <v>55</v>
      </c>
      <c r="G264" t="s">
        <v>38</v>
      </c>
      <c r="H264" t="s">
        <v>26</v>
      </c>
      <c r="I264" t="s">
        <v>39</v>
      </c>
      <c r="J264" t="s">
        <v>94</v>
      </c>
      <c r="K264">
        <v>3</v>
      </c>
      <c r="L264">
        <v>600</v>
      </c>
      <c r="M264">
        <v>1800</v>
      </c>
      <c r="N264" t="str">
        <f t="shared" si="8"/>
        <v>May</v>
      </c>
      <c r="O264" t="str">
        <f t="shared" si="9"/>
        <v>45+</v>
      </c>
    </row>
    <row r="265" spans="1:15" x14ac:dyDescent="0.25">
      <c r="A265" t="s">
        <v>429</v>
      </c>
      <c r="B265" s="2">
        <v>45937</v>
      </c>
      <c r="C265" t="s">
        <v>218</v>
      </c>
      <c r="D265" t="s">
        <v>97</v>
      </c>
      <c r="E265" t="s">
        <v>24</v>
      </c>
      <c r="F265">
        <v>28</v>
      </c>
      <c r="G265" t="s">
        <v>63</v>
      </c>
      <c r="H265" t="s">
        <v>64</v>
      </c>
      <c r="I265" t="s">
        <v>19</v>
      </c>
      <c r="J265" t="s">
        <v>76</v>
      </c>
      <c r="K265">
        <v>5</v>
      </c>
      <c r="L265">
        <v>2500</v>
      </c>
      <c r="M265">
        <v>12500</v>
      </c>
      <c r="N265" t="str">
        <f t="shared" si="8"/>
        <v>Oct</v>
      </c>
      <c r="O265" t="str">
        <f t="shared" si="9"/>
        <v>25-34</v>
      </c>
    </row>
    <row r="266" spans="1:15" x14ac:dyDescent="0.25">
      <c r="A266" t="s">
        <v>430</v>
      </c>
      <c r="B266" s="2">
        <v>45970</v>
      </c>
      <c r="C266" t="s">
        <v>222</v>
      </c>
      <c r="D266" t="s">
        <v>90</v>
      </c>
      <c r="E266" t="s">
        <v>24</v>
      </c>
      <c r="F266">
        <v>40</v>
      </c>
      <c r="G266" t="s">
        <v>25</v>
      </c>
      <c r="H266" t="s">
        <v>26</v>
      </c>
      <c r="I266" t="s">
        <v>30</v>
      </c>
      <c r="J266" t="s">
        <v>35</v>
      </c>
      <c r="K266">
        <v>4</v>
      </c>
      <c r="L266">
        <v>700</v>
      </c>
      <c r="M266">
        <v>2800</v>
      </c>
      <c r="N266" t="str">
        <f t="shared" si="8"/>
        <v>Nov</v>
      </c>
      <c r="O266" t="str">
        <f t="shared" si="9"/>
        <v>35-44</v>
      </c>
    </row>
    <row r="267" spans="1:15" x14ac:dyDescent="0.25">
      <c r="A267" t="s">
        <v>431</v>
      </c>
      <c r="B267" s="2">
        <v>45836</v>
      </c>
      <c r="C267" t="s">
        <v>92</v>
      </c>
      <c r="D267" t="s">
        <v>97</v>
      </c>
      <c r="E267" t="s">
        <v>24</v>
      </c>
      <c r="F267">
        <v>55</v>
      </c>
      <c r="G267" t="s">
        <v>17</v>
      </c>
      <c r="H267" t="s">
        <v>18</v>
      </c>
      <c r="I267" t="s">
        <v>30</v>
      </c>
      <c r="J267" t="s">
        <v>175</v>
      </c>
      <c r="K267">
        <v>3</v>
      </c>
      <c r="L267">
        <v>1800</v>
      </c>
      <c r="M267">
        <v>5400</v>
      </c>
      <c r="N267" t="str">
        <f t="shared" si="8"/>
        <v>Jun</v>
      </c>
      <c r="O267" t="str">
        <f t="shared" si="9"/>
        <v>45+</v>
      </c>
    </row>
    <row r="268" spans="1:15" x14ac:dyDescent="0.25">
      <c r="A268" t="s">
        <v>432</v>
      </c>
      <c r="B268" s="2">
        <v>45818</v>
      </c>
      <c r="C268" t="s">
        <v>37</v>
      </c>
      <c r="D268" t="s">
        <v>23</v>
      </c>
      <c r="E268" t="s">
        <v>24</v>
      </c>
      <c r="F268">
        <v>53</v>
      </c>
      <c r="G268" t="s">
        <v>38</v>
      </c>
      <c r="H268" t="s">
        <v>26</v>
      </c>
      <c r="I268" t="s">
        <v>39</v>
      </c>
      <c r="J268" t="s">
        <v>94</v>
      </c>
      <c r="K268">
        <v>5</v>
      </c>
      <c r="L268">
        <v>600</v>
      </c>
      <c r="M268">
        <v>3000</v>
      </c>
      <c r="N268" t="str">
        <f t="shared" si="8"/>
        <v>Jun</v>
      </c>
      <c r="O268" t="str">
        <f t="shared" si="9"/>
        <v>45+</v>
      </c>
    </row>
    <row r="269" spans="1:15" x14ac:dyDescent="0.25">
      <c r="A269" t="s">
        <v>433</v>
      </c>
      <c r="B269" s="2">
        <v>45748</v>
      </c>
      <c r="C269" t="s">
        <v>271</v>
      </c>
      <c r="D269" t="s">
        <v>62</v>
      </c>
      <c r="E269" t="s">
        <v>16</v>
      </c>
      <c r="F269">
        <v>51</v>
      </c>
      <c r="G269" t="s">
        <v>17</v>
      </c>
      <c r="H269" t="s">
        <v>18</v>
      </c>
      <c r="I269" t="s">
        <v>79</v>
      </c>
      <c r="J269" t="s">
        <v>114</v>
      </c>
      <c r="K269">
        <v>1</v>
      </c>
      <c r="L269">
        <v>2500</v>
      </c>
      <c r="M269">
        <v>2500</v>
      </c>
      <c r="N269" t="str">
        <f t="shared" si="8"/>
        <v>Apr</v>
      </c>
      <c r="O269" t="str">
        <f t="shared" si="9"/>
        <v>45+</v>
      </c>
    </row>
    <row r="270" spans="1:15" x14ac:dyDescent="0.25">
      <c r="A270" t="s">
        <v>434</v>
      </c>
      <c r="B270" s="2">
        <v>45819</v>
      </c>
      <c r="C270" t="s">
        <v>435</v>
      </c>
      <c r="D270" t="s">
        <v>97</v>
      </c>
      <c r="E270" t="s">
        <v>24</v>
      </c>
      <c r="F270">
        <v>21</v>
      </c>
      <c r="G270" t="s">
        <v>17</v>
      </c>
      <c r="H270" t="s">
        <v>18</v>
      </c>
      <c r="I270" t="s">
        <v>19</v>
      </c>
      <c r="J270" t="s">
        <v>85</v>
      </c>
      <c r="K270">
        <v>5</v>
      </c>
      <c r="L270">
        <v>800</v>
      </c>
      <c r="M270">
        <v>4000</v>
      </c>
      <c r="N270" t="str">
        <f t="shared" si="8"/>
        <v>Jun</v>
      </c>
      <c r="O270" t="str">
        <f t="shared" si="9"/>
        <v>18-24</v>
      </c>
    </row>
    <row r="271" spans="1:15" x14ac:dyDescent="0.25">
      <c r="A271" t="s">
        <v>436</v>
      </c>
      <c r="B271" s="2">
        <v>45782</v>
      </c>
      <c r="C271" t="s">
        <v>166</v>
      </c>
      <c r="D271" t="s">
        <v>23</v>
      </c>
      <c r="E271" t="s">
        <v>24</v>
      </c>
      <c r="F271">
        <v>45</v>
      </c>
      <c r="G271" t="s">
        <v>25</v>
      </c>
      <c r="H271" t="s">
        <v>26</v>
      </c>
      <c r="I271" t="s">
        <v>39</v>
      </c>
      <c r="J271" t="s">
        <v>53</v>
      </c>
      <c r="K271">
        <v>4</v>
      </c>
      <c r="L271">
        <v>800</v>
      </c>
      <c r="M271">
        <v>3200</v>
      </c>
      <c r="N271" t="str">
        <f t="shared" si="8"/>
        <v>May</v>
      </c>
      <c r="O271" t="str">
        <f t="shared" si="9"/>
        <v>45+</v>
      </c>
    </row>
    <row r="272" spans="1:15" x14ac:dyDescent="0.25">
      <c r="A272" t="s">
        <v>437</v>
      </c>
      <c r="B272" s="2">
        <v>45669</v>
      </c>
      <c r="C272" t="s">
        <v>103</v>
      </c>
      <c r="D272" t="s">
        <v>93</v>
      </c>
      <c r="E272" t="s">
        <v>24</v>
      </c>
      <c r="F272">
        <v>43</v>
      </c>
      <c r="G272" t="s">
        <v>137</v>
      </c>
      <c r="H272" t="s">
        <v>137</v>
      </c>
      <c r="I272" t="s">
        <v>39</v>
      </c>
      <c r="J272" t="s">
        <v>53</v>
      </c>
      <c r="K272">
        <v>3</v>
      </c>
      <c r="L272">
        <v>800</v>
      </c>
      <c r="M272">
        <v>2400</v>
      </c>
      <c r="N272" t="str">
        <f t="shared" si="8"/>
        <v>Jan</v>
      </c>
      <c r="O272" t="str">
        <f t="shared" si="9"/>
        <v>35-44</v>
      </c>
    </row>
    <row r="273" spans="1:15" x14ac:dyDescent="0.25">
      <c r="A273" t="s">
        <v>438</v>
      </c>
      <c r="B273" s="2">
        <v>46004</v>
      </c>
      <c r="C273" t="s">
        <v>33</v>
      </c>
      <c r="D273" t="s">
        <v>69</v>
      </c>
      <c r="E273" t="s">
        <v>24</v>
      </c>
      <c r="F273">
        <v>41</v>
      </c>
      <c r="G273" t="s">
        <v>43</v>
      </c>
      <c r="H273" t="s">
        <v>44</v>
      </c>
      <c r="I273" t="s">
        <v>65</v>
      </c>
      <c r="J273" t="s">
        <v>125</v>
      </c>
      <c r="K273">
        <v>1</v>
      </c>
      <c r="L273">
        <v>700</v>
      </c>
      <c r="M273">
        <v>700</v>
      </c>
      <c r="N273" t="str">
        <f t="shared" si="8"/>
        <v>Dec</v>
      </c>
      <c r="O273" t="str">
        <f t="shared" si="9"/>
        <v>35-44</v>
      </c>
    </row>
    <row r="274" spans="1:15" x14ac:dyDescent="0.25">
      <c r="A274" t="s">
        <v>439</v>
      </c>
      <c r="B274" s="2">
        <v>45950</v>
      </c>
      <c r="C274" t="s">
        <v>28</v>
      </c>
      <c r="D274" t="s">
        <v>101</v>
      </c>
      <c r="E274" t="s">
        <v>16</v>
      </c>
      <c r="F274">
        <v>43</v>
      </c>
      <c r="G274" t="s">
        <v>38</v>
      </c>
      <c r="H274" t="s">
        <v>26</v>
      </c>
      <c r="I274" t="s">
        <v>65</v>
      </c>
      <c r="J274" t="s">
        <v>146</v>
      </c>
      <c r="K274">
        <v>1</v>
      </c>
      <c r="L274">
        <v>300</v>
      </c>
      <c r="M274">
        <v>300</v>
      </c>
      <c r="N274" t="str">
        <f t="shared" si="8"/>
        <v>Oct</v>
      </c>
      <c r="O274" t="str">
        <f t="shared" si="9"/>
        <v>35-44</v>
      </c>
    </row>
    <row r="275" spans="1:15" x14ac:dyDescent="0.25">
      <c r="A275" t="s">
        <v>440</v>
      </c>
      <c r="B275" s="2">
        <v>46010</v>
      </c>
      <c r="C275" t="s">
        <v>324</v>
      </c>
      <c r="D275" t="s">
        <v>52</v>
      </c>
      <c r="E275" t="s">
        <v>24</v>
      </c>
      <c r="F275">
        <v>47</v>
      </c>
      <c r="G275" t="s">
        <v>43</v>
      </c>
      <c r="H275" t="s">
        <v>44</v>
      </c>
      <c r="I275" t="s">
        <v>79</v>
      </c>
      <c r="J275" t="s">
        <v>208</v>
      </c>
      <c r="K275">
        <v>4</v>
      </c>
      <c r="L275">
        <v>3000</v>
      </c>
      <c r="M275">
        <v>12000</v>
      </c>
      <c r="N275" t="str">
        <f t="shared" si="8"/>
        <v>Dec</v>
      </c>
      <c r="O275" t="str">
        <f t="shared" si="9"/>
        <v>45+</v>
      </c>
    </row>
    <row r="276" spans="1:15" x14ac:dyDescent="0.25">
      <c r="A276" t="s">
        <v>441</v>
      </c>
      <c r="B276" s="2">
        <v>45962</v>
      </c>
      <c r="C276" t="s">
        <v>300</v>
      </c>
      <c r="D276" t="s">
        <v>62</v>
      </c>
      <c r="E276" t="s">
        <v>16</v>
      </c>
      <c r="F276">
        <v>38</v>
      </c>
      <c r="G276" t="s">
        <v>63</v>
      </c>
      <c r="H276" t="s">
        <v>64</v>
      </c>
      <c r="I276" t="s">
        <v>30</v>
      </c>
      <c r="J276" t="s">
        <v>31</v>
      </c>
      <c r="K276">
        <v>2</v>
      </c>
      <c r="L276">
        <v>1200</v>
      </c>
      <c r="M276">
        <v>2400</v>
      </c>
      <c r="N276" t="str">
        <f t="shared" si="8"/>
        <v>Nov</v>
      </c>
      <c r="O276" t="str">
        <f t="shared" si="9"/>
        <v>35-44</v>
      </c>
    </row>
    <row r="277" spans="1:15" x14ac:dyDescent="0.25">
      <c r="A277" t="s">
        <v>442</v>
      </c>
      <c r="B277" s="2">
        <v>45819</v>
      </c>
      <c r="C277" t="s">
        <v>443</v>
      </c>
      <c r="D277" t="s">
        <v>113</v>
      </c>
      <c r="E277" t="s">
        <v>16</v>
      </c>
      <c r="F277">
        <v>20</v>
      </c>
      <c r="G277" t="s">
        <v>34</v>
      </c>
      <c r="H277" t="s">
        <v>18</v>
      </c>
      <c r="I277" t="s">
        <v>30</v>
      </c>
      <c r="J277" t="s">
        <v>175</v>
      </c>
      <c r="K277">
        <v>1</v>
      </c>
      <c r="L277">
        <v>1800</v>
      </c>
      <c r="M277">
        <v>1800</v>
      </c>
      <c r="N277" t="str">
        <f t="shared" si="8"/>
        <v>Jun</v>
      </c>
      <c r="O277" t="str">
        <f t="shared" si="9"/>
        <v>18-24</v>
      </c>
    </row>
    <row r="278" spans="1:15" x14ac:dyDescent="0.25">
      <c r="A278" t="s">
        <v>444</v>
      </c>
      <c r="B278" s="2">
        <v>45687</v>
      </c>
      <c r="C278" t="s">
        <v>178</v>
      </c>
      <c r="D278" t="s">
        <v>74</v>
      </c>
      <c r="E278" t="s">
        <v>16</v>
      </c>
      <c r="F278">
        <v>26</v>
      </c>
      <c r="G278" t="s">
        <v>70</v>
      </c>
      <c r="H278" t="s">
        <v>18</v>
      </c>
      <c r="I278" t="s">
        <v>19</v>
      </c>
      <c r="J278" t="s">
        <v>85</v>
      </c>
      <c r="K278">
        <v>1</v>
      </c>
      <c r="L278">
        <v>800</v>
      </c>
      <c r="M278">
        <v>800</v>
      </c>
      <c r="N278" t="str">
        <f t="shared" si="8"/>
        <v>Jan</v>
      </c>
      <c r="O278" t="str">
        <f t="shared" si="9"/>
        <v>25-34</v>
      </c>
    </row>
    <row r="279" spans="1:15" x14ac:dyDescent="0.25">
      <c r="A279" t="s">
        <v>445</v>
      </c>
      <c r="B279" s="2">
        <v>45997</v>
      </c>
      <c r="C279" t="s">
        <v>446</v>
      </c>
      <c r="D279" t="s">
        <v>15</v>
      </c>
      <c r="E279" t="s">
        <v>16</v>
      </c>
      <c r="F279">
        <v>51</v>
      </c>
      <c r="G279" t="s">
        <v>17</v>
      </c>
      <c r="H279" t="s">
        <v>18</v>
      </c>
      <c r="I279" t="s">
        <v>65</v>
      </c>
      <c r="J279" t="s">
        <v>121</v>
      </c>
      <c r="K279">
        <v>1</v>
      </c>
      <c r="L279">
        <v>900</v>
      </c>
      <c r="M279">
        <v>900</v>
      </c>
      <c r="N279" t="str">
        <f t="shared" si="8"/>
        <v>Dec</v>
      </c>
      <c r="O279" t="str">
        <f t="shared" si="9"/>
        <v>45+</v>
      </c>
    </row>
    <row r="280" spans="1:15" x14ac:dyDescent="0.25">
      <c r="A280" t="s">
        <v>447</v>
      </c>
      <c r="B280" s="2">
        <v>45686</v>
      </c>
      <c r="C280" t="s">
        <v>222</v>
      </c>
      <c r="D280" t="s">
        <v>113</v>
      </c>
      <c r="E280" t="s">
        <v>16</v>
      </c>
      <c r="F280">
        <v>43</v>
      </c>
      <c r="G280" t="s">
        <v>43</v>
      </c>
      <c r="H280" t="s">
        <v>44</v>
      </c>
      <c r="I280" t="s">
        <v>65</v>
      </c>
      <c r="J280" t="s">
        <v>121</v>
      </c>
      <c r="K280">
        <v>4</v>
      </c>
      <c r="L280">
        <v>900</v>
      </c>
      <c r="M280">
        <v>3600</v>
      </c>
      <c r="N280" t="str">
        <f t="shared" si="8"/>
        <v>Jan</v>
      </c>
      <c r="O280" t="str">
        <f t="shared" si="9"/>
        <v>35-44</v>
      </c>
    </row>
    <row r="281" spans="1:15" x14ac:dyDescent="0.25">
      <c r="A281" t="s">
        <v>448</v>
      </c>
      <c r="B281" s="2">
        <v>45825</v>
      </c>
      <c r="C281" t="s">
        <v>271</v>
      </c>
      <c r="D281" t="s">
        <v>23</v>
      </c>
      <c r="E281" t="s">
        <v>24</v>
      </c>
      <c r="F281">
        <v>55</v>
      </c>
      <c r="G281" t="s">
        <v>137</v>
      </c>
      <c r="H281" t="s">
        <v>137</v>
      </c>
      <c r="I281" t="s">
        <v>39</v>
      </c>
      <c r="J281" t="s">
        <v>94</v>
      </c>
      <c r="K281">
        <v>4</v>
      </c>
      <c r="L281">
        <v>600</v>
      </c>
      <c r="M281">
        <v>2400</v>
      </c>
      <c r="N281" t="str">
        <f t="shared" si="8"/>
        <v>Jun</v>
      </c>
      <c r="O281" t="str">
        <f t="shared" si="9"/>
        <v>45+</v>
      </c>
    </row>
    <row r="282" spans="1:15" x14ac:dyDescent="0.25">
      <c r="A282" t="s">
        <v>449</v>
      </c>
      <c r="B282" s="2">
        <v>45702</v>
      </c>
      <c r="C282" t="s">
        <v>134</v>
      </c>
      <c r="D282" t="s">
        <v>52</v>
      </c>
      <c r="E282" t="s">
        <v>24</v>
      </c>
      <c r="F282">
        <v>28</v>
      </c>
      <c r="G282" t="s">
        <v>43</v>
      </c>
      <c r="H282" t="s">
        <v>44</v>
      </c>
      <c r="I282" t="s">
        <v>30</v>
      </c>
      <c r="J282" t="s">
        <v>71</v>
      </c>
      <c r="K282">
        <v>3</v>
      </c>
      <c r="L282">
        <v>900</v>
      </c>
      <c r="M282">
        <v>2700</v>
      </c>
      <c r="N282" t="str">
        <f t="shared" si="8"/>
        <v>Feb</v>
      </c>
      <c r="O282" t="str">
        <f t="shared" si="9"/>
        <v>25-34</v>
      </c>
    </row>
    <row r="283" spans="1:15" x14ac:dyDescent="0.25">
      <c r="A283" t="s">
        <v>450</v>
      </c>
      <c r="B283" s="2">
        <v>45678</v>
      </c>
      <c r="C283" t="s">
        <v>451</v>
      </c>
      <c r="D283" t="s">
        <v>15</v>
      </c>
      <c r="E283" t="s">
        <v>16</v>
      </c>
      <c r="F283">
        <v>29</v>
      </c>
      <c r="G283" t="s">
        <v>70</v>
      </c>
      <c r="H283" t="s">
        <v>18</v>
      </c>
      <c r="I283" t="s">
        <v>19</v>
      </c>
      <c r="J283" t="s">
        <v>45</v>
      </c>
      <c r="K283">
        <v>3</v>
      </c>
      <c r="L283">
        <v>1500</v>
      </c>
      <c r="M283">
        <v>4500</v>
      </c>
      <c r="N283" t="str">
        <f t="shared" si="8"/>
        <v>Jan</v>
      </c>
      <c r="O283" t="str">
        <f t="shared" si="9"/>
        <v>25-34</v>
      </c>
    </row>
    <row r="284" spans="1:15" x14ac:dyDescent="0.25">
      <c r="A284" t="s">
        <v>452</v>
      </c>
      <c r="B284" s="2">
        <v>45768</v>
      </c>
      <c r="C284" t="s">
        <v>33</v>
      </c>
      <c r="D284" t="s">
        <v>15</v>
      </c>
      <c r="E284" t="s">
        <v>16</v>
      </c>
      <c r="F284">
        <v>28</v>
      </c>
      <c r="G284" t="s">
        <v>63</v>
      </c>
      <c r="H284" t="s">
        <v>64</v>
      </c>
      <c r="I284" t="s">
        <v>19</v>
      </c>
      <c r="J284" t="s">
        <v>76</v>
      </c>
      <c r="K284">
        <v>3</v>
      </c>
      <c r="L284">
        <v>2500</v>
      </c>
      <c r="M284">
        <v>7500</v>
      </c>
      <c r="N284" t="str">
        <f t="shared" si="8"/>
        <v>Apr</v>
      </c>
      <c r="O284" t="str">
        <f t="shared" si="9"/>
        <v>25-34</v>
      </c>
    </row>
    <row r="285" spans="1:15" x14ac:dyDescent="0.25">
      <c r="A285" t="s">
        <v>453</v>
      </c>
      <c r="B285" s="2">
        <v>45900</v>
      </c>
      <c r="C285" t="s">
        <v>446</v>
      </c>
      <c r="D285" t="s">
        <v>97</v>
      </c>
      <c r="E285" t="s">
        <v>24</v>
      </c>
      <c r="F285">
        <v>50</v>
      </c>
      <c r="G285" t="s">
        <v>75</v>
      </c>
      <c r="H285" t="s">
        <v>49</v>
      </c>
      <c r="I285" t="s">
        <v>65</v>
      </c>
      <c r="J285" t="s">
        <v>121</v>
      </c>
      <c r="K285">
        <v>3</v>
      </c>
      <c r="L285">
        <v>900</v>
      </c>
      <c r="M285">
        <v>2700</v>
      </c>
      <c r="N285" t="str">
        <f t="shared" si="8"/>
        <v>Aug</v>
      </c>
      <c r="O285" t="str">
        <f t="shared" si="9"/>
        <v>45+</v>
      </c>
    </row>
    <row r="286" spans="1:15" x14ac:dyDescent="0.25">
      <c r="A286" t="s">
        <v>454</v>
      </c>
      <c r="B286" s="2">
        <v>45917</v>
      </c>
      <c r="C286" t="s">
        <v>455</v>
      </c>
      <c r="D286" t="s">
        <v>83</v>
      </c>
      <c r="E286" t="s">
        <v>16</v>
      </c>
      <c r="F286">
        <v>31</v>
      </c>
      <c r="G286" t="s">
        <v>63</v>
      </c>
      <c r="H286" t="s">
        <v>64</v>
      </c>
      <c r="I286" t="s">
        <v>30</v>
      </c>
      <c r="J286" t="s">
        <v>31</v>
      </c>
      <c r="K286">
        <v>4</v>
      </c>
      <c r="L286">
        <v>1200</v>
      </c>
      <c r="M286">
        <v>4800</v>
      </c>
      <c r="N286" t="str">
        <f t="shared" si="8"/>
        <v>Sep</v>
      </c>
      <c r="O286" t="str">
        <f t="shared" si="9"/>
        <v>25-34</v>
      </c>
    </row>
    <row r="287" spans="1:15" x14ac:dyDescent="0.25">
      <c r="A287" t="s">
        <v>456</v>
      </c>
      <c r="B287" s="2">
        <v>45852</v>
      </c>
      <c r="C287" t="s">
        <v>184</v>
      </c>
      <c r="D287" t="s">
        <v>97</v>
      </c>
      <c r="E287" t="s">
        <v>24</v>
      </c>
      <c r="F287">
        <v>52</v>
      </c>
      <c r="G287" t="s">
        <v>75</v>
      </c>
      <c r="H287" t="s">
        <v>49</v>
      </c>
      <c r="I287" t="s">
        <v>19</v>
      </c>
      <c r="J287" t="s">
        <v>76</v>
      </c>
      <c r="K287">
        <v>1</v>
      </c>
      <c r="L287">
        <v>2500</v>
      </c>
      <c r="M287">
        <v>2500</v>
      </c>
      <c r="N287" t="str">
        <f t="shared" si="8"/>
        <v>Jul</v>
      </c>
      <c r="O287" t="str">
        <f t="shared" si="9"/>
        <v>45+</v>
      </c>
    </row>
    <row r="288" spans="1:15" x14ac:dyDescent="0.25">
      <c r="A288" t="s">
        <v>457</v>
      </c>
      <c r="B288" s="2">
        <v>45723</v>
      </c>
      <c r="C288" t="s">
        <v>150</v>
      </c>
      <c r="D288" t="s">
        <v>78</v>
      </c>
      <c r="E288" t="s">
        <v>16</v>
      </c>
      <c r="F288">
        <v>28</v>
      </c>
      <c r="G288" t="s">
        <v>63</v>
      </c>
      <c r="H288" t="s">
        <v>64</v>
      </c>
      <c r="I288" t="s">
        <v>65</v>
      </c>
      <c r="J288" t="s">
        <v>66</v>
      </c>
      <c r="K288">
        <v>1</v>
      </c>
      <c r="L288">
        <v>500</v>
      </c>
      <c r="M288">
        <v>500</v>
      </c>
      <c r="N288" t="str">
        <f t="shared" si="8"/>
        <v>Mar</v>
      </c>
      <c r="O288" t="str">
        <f t="shared" si="9"/>
        <v>25-34</v>
      </c>
    </row>
    <row r="289" spans="1:15" x14ac:dyDescent="0.25">
      <c r="A289" t="s">
        <v>458</v>
      </c>
      <c r="B289" s="2">
        <v>45799</v>
      </c>
      <c r="C289" t="s">
        <v>58</v>
      </c>
      <c r="D289" t="s">
        <v>113</v>
      </c>
      <c r="E289" t="s">
        <v>16</v>
      </c>
      <c r="F289">
        <v>31</v>
      </c>
      <c r="G289" t="s">
        <v>63</v>
      </c>
      <c r="H289" t="s">
        <v>64</v>
      </c>
      <c r="I289" t="s">
        <v>79</v>
      </c>
      <c r="J289" t="s">
        <v>80</v>
      </c>
      <c r="K289">
        <v>1</v>
      </c>
      <c r="L289">
        <v>600</v>
      </c>
      <c r="M289">
        <v>600</v>
      </c>
      <c r="N289" t="str">
        <f t="shared" si="8"/>
        <v>May</v>
      </c>
      <c r="O289" t="str">
        <f t="shared" si="9"/>
        <v>25-34</v>
      </c>
    </row>
    <row r="290" spans="1:15" x14ac:dyDescent="0.25">
      <c r="A290" t="s">
        <v>459</v>
      </c>
      <c r="B290" s="2">
        <v>46010</v>
      </c>
      <c r="C290" t="s">
        <v>255</v>
      </c>
      <c r="D290" t="s">
        <v>15</v>
      </c>
      <c r="E290" t="s">
        <v>16</v>
      </c>
      <c r="F290">
        <v>22</v>
      </c>
      <c r="G290" t="s">
        <v>43</v>
      </c>
      <c r="H290" t="s">
        <v>44</v>
      </c>
      <c r="I290" t="s">
        <v>39</v>
      </c>
      <c r="J290" t="s">
        <v>40</v>
      </c>
      <c r="K290">
        <v>2</v>
      </c>
      <c r="L290">
        <v>350</v>
      </c>
      <c r="M290">
        <v>700</v>
      </c>
      <c r="N290" t="str">
        <f t="shared" si="8"/>
        <v>Dec</v>
      </c>
      <c r="O290" t="str">
        <f t="shared" si="9"/>
        <v>18-24</v>
      </c>
    </row>
    <row r="291" spans="1:15" x14ac:dyDescent="0.25">
      <c r="A291" t="s">
        <v>460</v>
      </c>
      <c r="B291" s="2">
        <v>45793</v>
      </c>
      <c r="C291" t="s">
        <v>51</v>
      </c>
      <c r="D291" t="s">
        <v>152</v>
      </c>
      <c r="E291" t="s">
        <v>16</v>
      </c>
      <c r="F291">
        <v>21</v>
      </c>
      <c r="G291" t="s">
        <v>70</v>
      </c>
      <c r="H291" t="s">
        <v>18</v>
      </c>
      <c r="I291" t="s">
        <v>65</v>
      </c>
      <c r="J291" t="s">
        <v>121</v>
      </c>
      <c r="K291">
        <v>5</v>
      </c>
      <c r="L291">
        <v>900</v>
      </c>
      <c r="M291">
        <v>4500</v>
      </c>
      <c r="N291" t="str">
        <f t="shared" si="8"/>
        <v>May</v>
      </c>
      <c r="O291" t="str">
        <f t="shared" si="9"/>
        <v>18-24</v>
      </c>
    </row>
    <row r="292" spans="1:15" x14ac:dyDescent="0.25">
      <c r="A292" t="s">
        <v>461</v>
      </c>
      <c r="B292" s="2">
        <v>45700</v>
      </c>
      <c r="C292" t="s">
        <v>96</v>
      </c>
      <c r="D292" t="s">
        <v>124</v>
      </c>
      <c r="E292" t="s">
        <v>24</v>
      </c>
      <c r="F292">
        <v>45</v>
      </c>
      <c r="G292" t="s">
        <v>17</v>
      </c>
      <c r="H292" t="s">
        <v>18</v>
      </c>
      <c r="I292" t="s">
        <v>30</v>
      </c>
      <c r="J292" t="s">
        <v>175</v>
      </c>
      <c r="K292">
        <v>2</v>
      </c>
      <c r="L292">
        <v>1800</v>
      </c>
      <c r="M292">
        <v>3600</v>
      </c>
      <c r="N292" t="str">
        <f t="shared" si="8"/>
        <v>Feb</v>
      </c>
      <c r="O292" t="str">
        <f t="shared" si="9"/>
        <v>45+</v>
      </c>
    </row>
    <row r="293" spans="1:15" x14ac:dyDescent="0.25">
      <c r="A293" t="s">
        <v>462</v>
      </c>
      <c r="B293" s="2">
        <v>46018</v>
      </c>
      <c r="C293" t="s">
        <v>134</v>
      </c>
      <c r="D293" t="s">
        <v>29</v>
      </c>
      <c r="E293" t="s">
        <v>24</v>
      </c>
      <c r="F293">
        <v>25</v>
      </c>
      <c r="G293" t="s">
        <v>25</v>
      </c>
      <c r="H293" t="s">
        <v>26</v>
      </c>
      <c r="I293" t="s">
        <v>79</v>
      </c>
      <c r="J293" t="s">
        <v>114</v>
      </c>
      <c r="K293">
        <v>5</v>
      </c>
      <c r="L293">
        <v>2500</v>
      </c>
      <c r="M293">
        <v>12500</v>
      </c>
      <c r="N293" t="str">
        <f t="shared" si="8"/>
        <v>Dec</v>
      </c>
      <c r="O293" t="str">
        <f t="shared" si="9"/>
        <v>25-34</v>
      </c>
    </row>
    <row r="294" spans="1:15" x14ac:dyDescent="0.25">
      <c r="A294" t="s">
        <v>463</v>
      </c>
      <c r="B294" s="2">
        <v>45758</v>
      </c>
      <c r="C294" t="s">
        <v>273</v>
      </c>
      <c r="D294" t="s">
        <v>101</v>
      </c>
      <c r="E294" t="s">
        <v>16</v>
      </c>
      <c r="F294">
        <v>20</v>
      </c>
      <c r="G294" t="s">
        <v>34</v>
      </c>
      <c r="H294" t="s">
        <v>18</v>
      </c>
      <c r="I294" t="s">
        <v>30</v>
      </c>
      <c r="J294" t="s">
        <v>35</v>
      </c>
      <c r="K294">
        <v>2</v>
      </c>
      <c r="L294">
        <v>700</v>
      </c>
      <c r="M294">
        <v>1400</v>
      </c>
      <c r="N294" t="str">
        <f t="shared" si="8"/>
        <v>Apr</v>
      </c>
      <c r="O294" t="str">
        <f t="shared" si="9"/>
        <v>18-24</v>
      </c>
    </row>
    <row r="295" spans="1:15" x14ac:dyDescent="0.25">
      <c r="A295" t="s">
        <v>464</v>
      </c>
      <c r="B295" s="2">
        <v>45960</v>
      </c>
      <c r="C295" t="s">
        <v>87</v>
      </c>
      <c r="D295" t="s">
        <v>69</v>
      </c>
      <c r="E295" t="s">
        <v>24</v>
      </c>
      <c r="F295">
        <v>41</v>
      </c>
      <c r="G295" t="s">
        <v>38</v>
      </c>
      <c r="H295" t="s">
        <v>26</v>
      </c>
      <c r="I295" t="s">
        <v>65</v>
      </c>
      <c r="J295" t="s">
        <v>146</v>
      </c>
      <c r="K295">
        <v>1</v>
      </c>
      <c r="L295">
        <v>300</v>
      </c>
      <c r="M295">
        <v>300</v>
      </c>
      <c r="N295" t="str">
        <f t="shared" si="8"/>
        <v>Oct</v>
      </c>
      <c r="O295" t="str">
        <f t="shared" si="9"/>
        <v>35-44</v>
      </c>
    </row>
    <row r="296" spans="1:15" x14ac:dyDescent="0.25">
      <c r="A296" t="s">
        <v>465</v>
      </c>
      <c r="B296" s="2">
        <v>45724</v>
      </c>
      <c r="C296" t="s">
        <v>130</v>
      </c>
      <c r="D296" t="s">
        <v>62</v>
      </c>
      <c r="E296" t="s">
        <v>16</v>
      </c>
      <c r="F296">
        <v>49</v>
      </c>
      <c r="G296" t="s">
        <v>48</v>
      </c>
      <c r="H296" t="s">
        <v>49</v>
      </c>
      <c r="I296" t="s">
        <v>30</v>
      </c>
      <c r="J296" t="s">
        <v>31</v>
      </c>
      <c r="K296">
        <v>4</v>
      </c>
      <c r="L296">
        <v>1200</v>
      </c>
      <c r="M296">
        <v>4800</v>
      </c>
      <c r="N296" t="str">
        <f t="shared" si="8"/>
        <v>Mar</v>
      </c>
      <c r="O296" t="str">
        <f t="shared" si="9"/>
        <v>45+</v>
      </c>
    </row>
    <row r="297" spans="1:15" x14ac:dyDescent="0.25">
      <c r="A297" t="s">
        <v>466</v>
      </c>
      <c r="B297" s="2">
        <v>45977</v>
      </c>
      <c r="C297" t="s">
        <v>257</v>
      </c>
      <c r="D297" t="s">
        <v>93</v>
      </c>
      <c r="E297" t="s">
        <v>24</v>
      </c>
      <c r="F297">
        <v>41</v>
      </c>
      <c r="G297" t="s">
        <v>70</v>
      </c>
      <c r="H297" t="s">
        <v>18</v>
      </c>
      <c r="I297" t="s">
        <v>39</v>
      </c>
      <c r="J297" t="s">
        <v>40</v>
      </c>
      <c r="K297">
        <v>2</v>
      </c>
      <c r="L297">
        <v>350</v>
      </c>
      <c r="M297">
        <v>700</v>
      </c>
      <c r="N297" t="str">
        <f t="shared" si="8"/>
        <v>Nov</v>
      </c>
      <c r="O297" t="str">
        <f t="shared" si="9"/>
        <v>35-44</v>
      </c>
    </row>
    <row r="298" spans="1:15" x14ac:dyDescent="0.25">
      <c r="A298" t="s">
        <v>467</v>
      </c>
      <c r="B298" s="2">
        <v>45990</v>
      </c>
      <c r="C298" t="s">
        <v>156</v>
      </c>
      <c r="D298" t="s">
        <v>106</v>
      </c>
      <c r="E298" t="s">
        <v>24</v>
      </c>
      <c r="F298">
        <v>29</v>
      </c>
      <c r="G298" t="s">
        <v>43</v>
      </c>
      <c r="H298" t="s">
        <v>44</v>
      </c>
      <c r="I298" t="s">
        <v>39</v>
      </c>
      <c r="J298" t="s">
        <v>53</v>
      </c>
      <c r="K298">
        <v>1</v>
      </c>
      <c r="L298">
        <v>800</v>
      </c>
      <c r="M298">
        <v>800</v>
      </c>
      <c r="N298" t="str">
        <f t="shared" si="8"/>
        <v>Nov</v>
      </c>
      <c r="O298" t="str">
        <f t="shared" si="9"/>
        <v>25-34</v>
      </c>
    </row>
    <row r="299" spans="1:15" x14ac:dyDescent="0.25">
      <c r="A299" t="s">
        <v>468</v>
      </c>
      <c r="B299" s="2">
        <v>45884</v>
      </c>
      <c r="C299" t="s">
        <v>371</v>
      </c>
      <c r="D299" t="s">
        <v>78</v>
      </c>
      <c r="E299" t="s">
        <v>16</v>
      </c>
      <c r="F299">
        <v>30</v>
      </c>
      <c r="G299" t="s">
        <v>48</v>
      </c>
      <c r="H299" t="s">
        <v>49</v>
      </c>
      <c r="I299" t="s">
        <v>79</v>
      </c>
      <c r="J299" t="s">
        <v>80</v>
      </c>
      <c r="K299">
        <v>1</v>
      </c>
      <c r="L299">
        <v>600</v>
      </c>
      <c r="M299">
        <v>600</v>
      </c>
      <c r="N299" t="str">
        <f t="shared" si="8"/>
        <v>Aug</v>
      </c>
      <c r="O299" t="str">
        <f t="shared" si="9"/>
        <v>25-34</v>
      </c>
    </row>
    <row r="300" spans="1:15" x14ac:dyDescent="0.25">
      <c r="A300" t="s">
        <v>469</v>
      </c>
      <c r="B300" s="2">
        <v>45871</v>
      </c>
      <c r="C300" t="s">
        <v>241</v>
      </c>
      <c r="D300" t="s">
        <v>62</v>
      </c>
      <c r="E300" t="s">
        <v>16</v>
      </c>
      <c r="F300">
        <v>51</v>
      </c>
      <c r="G300" t="s">
        <v>75</v>
      </c>
      <c r="H300" t="s">
        <v>49</v>
      </c>
      <c r="I300" t="s">
        <v>30</v>
      </c>
      <c r="J300" t="s">
        <v>71</v>
      </c>
      <c r="K300">
        <v>5</v>
      </c>
      <c r="L300">
        <v>900</v>
      </c>
      <c r="M300">
        <v>4500</v>
      </c>
      <c r="N300" t="str">
        <f t="shared" si="8"/>
        <v>Aug</v>
      </c>
      <c r="O300" t="str">
        <f t="shared" si="9"/>
        <v>45+</v>
      </c>
    </row>
    <row r="301" spans="1:15" x14ac:dyDescent="0.25">
      <c r="A301" t="s">
        <v>470</v>
      </c>
      <c r="B301" s="2">
        <v>45880</v>
      </c>
      <c r="C301" t="s">
        <v>184</v>
      </c>
      <c r="D301" t="s">
        <v>56</v>
      </c>
      <c r="E301" t="s">
        <v>16</v>
      </c>
      <c r="F301">
        <v>53</v>
      </c>
      <c r="G301" t="s">
        <v>17</v>
      </c>
      <c r="H301" t="s">
        <v>18</v>
      </c>
      <c r="I301" t="s">
        <v>30</v>
      </c>
      <c r="J301" t="s">
        <v>71</v>
      </c>
      <c r="K301">
        <v>4</v>
      </c>
      <c r="L301">
        <v>900</v>
      </c>
      <c r="M301">
        <v>3600</v>
      </c>
      <c r="N301" t="str">
        <f t="shared" si="8"/>
        <v>Aug</v>
      </c>
      <c r="O301" t="str">
        <f t="shared" si="9"/>
        <v>45+</v>
      </c>
    </row>
    <row r="302" spans="1:15" x14ac:dyDescent="0.25">
      <c r="A302" t="s">
        <v>471</v>
      </c>
      <c r="B302" s="2">
        <v>45745</v>
      </c>
      <c r="C302" t="s">
        <v>286</v>
      </c>
      <c r="D302" t="s">
        <v>29</v>
      </c>
      <c r="E302" t="s">
        <v>24</v>
      </c>
      <c r="F302">
        <v>35</v>
      </c>
      <c r="G302" t="s">
        <v>48</v>
      </c>
      <c r="H302" t="s">
        <v>49</v>
      </c>
      <c r="I302" t="s">
        <v>79</v>
      </c>
      <c r="J302" t="s">
        <v>208</v>
      </c>
      <c r="K302">
        <v>5</v>
      </c>
      <c r="L302">
        <v>3000</v>
      </c>
      <c r="M302">
        <v>15000</v>
      </c>
      <c r="N302" t="str">
        <f t="shared" si="8"/>
        <v>Mar</v>
      </c>
      <c r="O302" t="str">
        <f t="shared" si="9"/>
        <v>35-44</v>
      </c>
    </row>
    <row r="303" spans="1:15" x14ac:dyDescent="0.25">
      <c r="A303" t="s">
        <v>472</v>
      </c>
      <c r="B303" s="2">
        <v>45790</v>
      </c>
      <c r="C303" t="s">
        <v>205</v>
      </c>
      <c r="D303" t="s">
        <v>59</v>
      </c>
      <c r="E303" t="s">
        <v>24</v>
      </c>
      <c r="F303">
        <v>24</v>
      </c>
      <c r="G303" t="s">
        <v>75</v>
      </c>
      <c r="H303" t="s">
        <v>49</v>
      </c>
      <c r="I303" t="s">
        <v>30</v>
      </c>
      <c r="J303" t="s">
        <v>31</v>
      </c>
      <c r="K303">
        <v>1</v>
      </c>
      <c r="L303">
        <v>1200</v>
      </c>
      <c r="M303">
        <v>1200</v>
      </c>
      <c r="N303" t="str">
        <f t="shared" si="8"/>
        <v>May</v>
      </c>
      <c r="O303" t="str">
        <f t="shared" si="9"/>
        <v>18-24</v>
      </c>
    </row>
    <row r="304" spans="1:15" x14ac:dyDescent="0.25">
      <c r="A304" t="s">
        <v>473</v>
      </c>
      <c r="B304" s="2">
        <v>45986</v>
      </c>
      <c r="C304" t="s">
        <v>213</v>
      </c>
      <c r="D304" t="s">
        <v>78</v>
      </c>
      <c r="E304" t="s">
        <v>16</v>
      </c>
      <c r="F304">
        <v>26</v>
      </c>
      <c r="G304" t="s">
        <v>17</v>
      </c>
      <c r="H304" t="s">
        <v>18</v>
      </c>
      <c r="I304" t="s">
        <v>65</v>
      </c>
      <c r="J304" t="s">
        <v>66</v>
      </c>
      <c r="K304">
        <v>5</v>
      </c>
      <c r="L304">
        <v>500</v>
      </c>
      <c r="M304">
        <v>2500</v>
      </c>
      <c r="N304" t="str">
        <f t="shared" si="8"/>
        <v>Nov</v>
      </c>
      <c r="O304" t="str">
        <f t="shared" si="9"/>
        <v>25-34</v>
      </c>
    </row>
    <row r="305" spans="1:15" x14ac:dyDescent="0.25">
      <c r="A305" t="s">
        <v>474</v>
      </c>
      <c r="B305" s="2">
        <v>45841</v>
      </c>
      <c r="C305" t="s">
        <v>143</v>
      </c>
      <c r="D305" t="s">
        <v>52</v>
      </c>
      <c r="E305" t="s">
        <v>24</v>
      </c>
      <c r="F305">
        <v>37</v>
      </c>
      <c r="G305" t="s">
        <v>137</v>
      </c>
      <c r="H305" t="s">
        <v>137</v>
      </c>
      <c r="I305" t="s">
        <v>65</v>
      </c>
      <c r="J305" t="s">
        <v>146</v>
      </c>
      <c r="K305">
        <v>5</v>
      </c>
      <c r="L305">
        <v>300</v>
      </c>
      <c r="M305">
        <v>1500</v>
      </c>
      <c r="N305" t="str">
        <f t="shared" si="8"/>
        <v>Jul</v>
      </c>
      <c r="O305" t="str">
        <f t="shared" si="9"/>
        <v>35-44</v>
      </c>
    </row>
    <row r="306" spans="1:15" x14ac:dyDescent="0.25">
      <c r="A306" t="s">
        <v>475</v>
      </c>
      <c r="B306" s="2">
        <v>45921</v>
      </c>
      <c r="C306" t="s">
        <v>89</v>
      </c>
      <c r="D306" t="s">
        <v>15</v>
      </c>
      <c r="E306" t="s">
        <v>16</v>
      </c>
      <c r="F306">
        <v>29</v>
      </c>
      <c r="G306" t="s">
        <v>63</v>
      </c>
      <c r="H306" t="s">
        <v>64</v>
      </c>
      <c r="I306" t="s">
        <v>79</v>
      </c>
      <c r="J306" t="s">
        <v>114</v>
      </c>
      <c r="K306">
        <v>1</v>
      </c>
      <c r="L306">
        <v>2500</v>
      </c>
      <c r="M306">
        <v>2500</v>
      </c>
      <c r="N306" t="str">
        <f t="shared" si="8"/>
        <v>Sep</v>
      </c>
      <c r="O306" t="str">
        <f t="shared" si="9"/>
        <v>25-34</v>
      </c>
    </row>
    <row r="307" spans="1:15" x14ac:dyDescent="0.25">
      <c r="A307" t="s">
        <v>476</v>
      </c>
      <c r="B307" s="2">
        <v>45970</v>
      </c>
      <c r="C307" t="s">
        <v>264</v>
      </c>
      <c r="D307" t="s">
        <v>29</v>
      </c>
      <c r="E307" t="s">
        <v>24</v>
      </c>
      <c r="F307">
        <v>27</v>
      </c>
      <c r="G307" t="s">
        <v>34</v>
      </c>
      <c r="H307" t="s">
        <v>18</v>
      </c>
      <c r="I307" t="s">
        <v>79</v>
      </c>
      <c r="J307" t="s">
        <v>114</v>
      </c>
      <c r="K307">
        <v>4</v>
      </c>
      <c r="L307">
        <v>2500</v>
      </c>
      <c r="M307">
        <v>10000</v>
      </c>
      <c r="N307" t="str">
        <f t="shared" si="8"/>
        <v>Nov</v>
      </c>
      <c r="O307" t="str">
        <f t="shared" si="9"/>
        <v>25-34</v>
      </c>
    </row>
    <row r="308" spans="1:15" x14ac:dyDescent="0.25">
      <c r="A308" t="s">
        <v>477</v>
      </c>
      <c r="B308" s="2">
        <v>45766</v>
      </c>
      <c r="C308" t="s">
        <v>244</v>
      </c>
      <c r="D308" t="s">
        <v>78</v>
      </c>
      <c r="E308" t="s">
        <v>16</v>
      </c>
      <c r="F308">
        <v>39</v>
      </c>
      <c r="G308" t="s">
        <v>17</v>
      </c>
      <c r="H308" t="s">
        <v>18</v>
      </c>
      <c r="I308" t="s">
        <v>19</v>
      </c>
      <c r="J308" t="s">
        <v>45</v>
      </c>
      <c r="K308">
        <v>4</v>
      </c>
      <c r="L308">
        <v>1500</v>
      </c>
      <c r="M308">
        <v>6000</v>
      </c>
      <c r="N308" t="str">
        <f t="shared" si="8"/>
        <v>Apr</v>
      </c>
      <c r="O308" t="str">
        <f t="shared" si="9"/>
        <v>35-44</v>
      </c>
    </row>
    <row r="309" spans="1:15" x14ac:dyDescent="0.25">
      <c r="A309" t="s">
        <v>478</v>
      </c>
      <c r="B309" s="2">
        <v>45962</v>
      </c>
      <c r="C309" t="s">
        <v>172</v>
      </c>
      <c r="D309" t="s">
        <v>52</v>
      </c>
      <c r="E309" t="s">
        <v>24</v>
      </c>
      <c r="F309">
        <v>36</v>
      </c>
      <c r="G309" t="s">
        <v>70</v>
      </c>
      <c r="H309" t="s">
        <v>18</v>
      </c>
      <c r="I309" t="s">
        <v>19</v>
      </c>
      <c r="J309" t="s">
        <v>76</v>
      </c>
      <c r="K309">
        <v>4</v>
      </c>
      <c r="L309">
        <v>2500</v>
      </c>
      <c r="M309">
        <v>10000</v>
      </c>
      <c r="N309" t="str">
        <f t="shared" si="8"/>
        <v>Nov</v>
      </c>
      <c r="O309" t="str">
        <f t="shared" si="9"/>
        <v>35-44</v>
      </c>
    </row>
    <row r="310" spans="1:15" x14ac:dyDescent="0.25">
      <c r="A310" t="s">
        <v>479</v>
      </c>
      <c r="B310" s="2">
        <v>45768</v>
      </c>
      <c r="C310" t="s">
        <v>267</v>
      </c>
      <c r="D310" t="s">
        <v>69</v>
      </c>
      <c r="E310" t="s">
        <v>24</v>
      </c>
      <c r="F310">
        <v>23</v>
      </c>
      <c r="G310" t="s">
        <v>70</v>
      </c>
      <c r="H310" t="s">
        <v>18</v>
      </c>
      <c r="I310" t="s">
        <v>39</v>
      </c>
      <c r="J310" t="s">
        <v>40</v>
      </c>
      <c r="K310">
        <v>2</v>
      </c>
      <c r="L310">
        <v>350</v>
      </c>
      <c r="M310">
        <v>700</v>
      </c>
      <c r="N310" t="str">
        <f t="shared" si="8"/>
        <v>Apr</v>
      </c>
      <c r="O310" t="str">
        <f t="shared" si="9"/>
        <v>18-24</v>
      </c>
    </row>
    <row r="311" spans="1:15" x14ac:dyDescent="0.25">
      <c r="A311" t="s">
        <v>480</v>
      </c>
      <c r="B311" s="2">
        <v>46012</v>
      </c>
      <c r="C311" t="s">
        <v>213</v>
      </c>
      <c r="D311" t="s">
        <v>101</v>
      </c>
      <c r="E311" t="s">
        <v>16</v>
      </c>
      <c r="F311">
        <v>43</v>
      </c>
      <c r="G311" t="s">
        <v>17</v>
      </c>
      <c r="H311" t="s">
        <v>18</v>
      </c>
      <c r="I311" t="s">
        <v>39</v>
      </c>
      <c r="J311" t="s">
        <v>40</v>
      </c>
      <c r="K311">
        <v>3</v>
      </c>
      <c r="L311">
        <v>350</v>
      </c>
      <c r="M311">
        <v>1050</v>
      </c>
      <c r="N311" t="str">
        <f t="shared" si="8"/>
        <v>Dec</v>
      </c>
      <c r="O311" t="str">
        <f t="shared" si="9"/>
        <v>35-44</v>
      </c>
    </row>
    <row r="312" spans="1:15" x14ac:dyDescent="0.25">
      <c r="A312" t="s">
        <v>481</v>
      </c>
      <c r="B312" s="2">
        <v>45796</v>
      </c>
      <c r="C312" t="s">
        <v>192</v>
      </c>
      <c r="D312" t="s">
        <v>152</v>
      </c>
      <c r="E312" t="s">
        <v>16</v>
      </c>
      <c r="F312">
        <v>51</v>
      </c>
      <c r="G312" t="s">
        <v>137</v>
      </c>
      <c r="H312" t="s">
        <v>137</v>
      </c>
      <c r="I312" t="s">
        <v>65</v>
      </c>
      <c r="J312" t="s">
        <v>125</v>
      </c>
      <c r="K312">
        <v>5</v>
      </c>
      <c r="L312">
        <v>700</v>
      </c>
      <c r="M312">
        <v>3500</v>
      </c>
      <c r="N312" t="str">
        <f t="shared" si="8"/>
        <v>May</v>
      </c>
      <c r="O312" t="str">
        <f t="shared" si="9"/>
        <v>45+</v>
      </c>
    </row>
    <row r="313" spans="1:15" x14ac:dyDescent="0.25">
      <c r="A313" t="s">
        <v>482</v>
      </c>
      <c r="B313" s="2">
        <v>45720</v>
      </c>
      <c r="C313" t="s">
        <v>163</v>
      </c>
      <c r="D313" t="s">
        <v>56</v>
      </c>
      <c r="E313" t="s">
        <v>16</v>
      </c>
      <c r="F313">
        <v>47</v>
      </c>
      <c r="G313" t="s">
        <v>75</v>
      </c>
      <c r="H313" t="s">
        <v>49</v>
      </c>
      <c r="I313" t="s">
        <v>39</v>
      </c>
      <c r="J313" t="s">
        <v>94</v>
      </c>
      <c r="K313">
        <v>5</v>
      </c>
      <c r="L313">
        <v>600</v>
      </c>
      <c r="M313">
        <v>3000</v>
      </c>
      <c r="N313" t="str">
        <f t="shared" si="8"/>
        <v>Mar</v>
      </c>
      <c r="O313" t="str">
        <f t="shared" si="9"/>
        <v>45+</v>
      </c>
    </row>
    <row r="314" spans="1:15" x14ac:dyDescent="0.25">
      <c r="A314" t="s">
        <v>483</v>
      </c>
      <c r="B314" s="2">
        <v>45855</v>
      </c>
      <c r="C314" t="s">
        <v>371</v>
      </c>
      <c r="D314" t="s">
        <v>113</v>
      </c>
      <c r="E314" t="s">
        <v>16</v>
      </c>
      <c r="F314">
        <v>47</v>
      </c>
      <c r="G314" t="s">
        <v>43</v>
      </c>
      <c r="H314" t="s">
        <v>44</v>
      </c>
      <c r="I314" t="s">
        <v>19</v>
      </c>
      <c r="J314" t="s">
        <v>20</v>
      </c>
      <c r="K314">
        <v>5</v>
      </c>
      <c r="L314">
        <v>5000</v>
      </c>
      <c r="M314">
        <v>25000</v>
      </c>
      <c r="N314" t="str">
        <f t="shared" si="8"/>
        <v>Jul</v>
      </c>
      <c r="O314" t="str">
        <f t="shared" si="9"/>
        <v>45+</v>
      </c>
    </row>
    <row r="315" spans="1:15" x14ac:dyDescent="0.25">
      <c r="A315" t="s">
        <v>484</v>
      </c>
      <c r="B315" s="2">
        <v>45761</v>
      </c>
      <c r="C315" t="s">
        <v>393</v>
      </c>
      <c r="D315" t="s">
        <v>62</v>
      </c>
      <c r="E315" t="s">
        <v>16</v>
      </c>
      <c r="F315">
        <v>42</v>
      </c>
      <c r="G315" t="s">
        <v>70</v>
      </c>
      <c r="H315" t="s">
        <v>18</v>
      </c>
      <c r="I315" t="s">
        <v>39</v>
      </c>
      <c r="J315" t="s">
        <v>60</v>
      </c>
      <c r="K315">
        <v>3</v>
      </c>
      <c r="L315">
        <v>1500</v>
      </c>
      <c r="M315">
        <v>4500</v>
      </c>
      <c r="N315" t="str">
        <f t="shared" si="8"/>
        <v>Apr</v>
      </c>
      <c r="O315" t="str">
        <f t="shared" si="9"/>
        <v>35-44</v>
      </c>
    </row>
    <row r="316" spans="1:15" x14ac:dyDescent="0.25">
      <c r="A316" t="s">
        <v>485</v>
      </c>
      <c r="B316" s="2">
        <v>46018</v>
      </c>
      <c r="C316" t="s">
        <v>205</v>
      </c>
      <c r="D316" t="s">
        <v>59</v>
      </c>
      <c r="E316" t="s">
        <v>24</v>
      </c>
      <c r="F316">
        <v>31</v>
      </c>
      <c r="G316" t="s">
        <v>70</v>
      </c>
      <c r="H316" t="s">
        <v>18</v>
      </c>
      <c r="I316" t="s">
        <v>65</v>
      </c>
      <c r="J316" t="s">
        <v>146</v>
      </c>
      <c r="K316">
        <v>2</v>
      </c>
      <c r="L316">
        <v>300</v>
      </c>
      <c r="M316">
        <v>600</v>
      </c>
      <c r="N316" t="str">
        <f t="shared" si="8"/>
        <v>Dec</v>
      </c>
      <c r="O316" t="str">
        <f t="shared" si="9"/>
        <v>25-34</v>
      </c>
    </row>
    <row r="317" spans="1:15" x14ac:dyDescent="0.25">
      <c r="A317" t="s">
        <v>486</v>
      </c>
      <c r="B317" s="2">
        <v>45885</v>
      </c>
      <c r="C317" t="s">
        <v>37</v>
      </c>
      <c r="D317" t="s">
        <v>83</v>
      </c>
      <c r="E317" t="s">
        <v>16</v>
      </c>
      <c r="F317">
        <v>49</v>
      </c>
      <c r="G317" t="s">
        <v>17</v>
      </c>
      <c r="H317" t="s">
        <v>18</v>
      </c>
      <c r="I317" t="s">
        <v>79</v>
      </c>
      <c r="J317" t="s">
        <v>208</v>
      </c>
      <c r="K317">
        <v>3</v>
      </c>
      <c r="L317">
        <v>3000</v>
      </c>
      <c r="M317">
        <v>9000</v>
      </c>
      <c r="N317" t="str">
        <f t="shared" si="8"/>
        <v>Aug</v>
      </c>
      <c r="O317" t="str">
        <f t="shared" si="9"/>
        <v>45+</v>
      </c>
    </row>
    <row r="318" spans="1:15" x14ac:dyDescent="0.25">
      <c r="A318" t="s">
        <v>487</v>
      </c>
      <c r="B318" s="2">
        <v>45658</v>
      </c>
      <c r="C318" t="s">
        <v>150</v>
      </c>
      <c r="D318" t="s">
        <v>59</v>
      </c>
      <c r="E318" t="s">
        <v>24</v>
      </c>
      <c r="F318">
        <v>36</v>
      </c>
      <c r="G318" t="s">
        <v>70</v>
      </c>
      <c r="H318" t="s">
        <v>18</v>
      </c>
      <c r="I318" t="s">
        <v>79</v>
      </c>
      <c r="J318" t="s">
        <v>114</v>
      </c>
      <c r="K318">
        <v>4</v>
      </c>
      <c r="L318">
        <v>2500</v>
      </c>
      <c r="M318">
        <v>10000</v>
      </c>
      <c r="N318" t="str">
        <f t="shared" si="8"/>
        <v>Jan</v>
      </c>
      <c r="O318" t="str">
        <f t="shared" si="9"/>
        <v>35-44</v>
      </c>
    </row>
    <row r="319" spans="1:15" x14ac:dyDescent="0.25">
      <c r="A319" t="s">
        <v>488</v>
      </c>
      <c r="B319" s="2">
        <v>45682</v>
      </c>
      <c r="C319" t="s">
        <v>28</v>
      </c>
      <c r="D319" t="s">
        <v>124</v>
      </c>
      <c r="E319" t="s">
        <v>24</v>
      </c>
      <c r="F319">
        <v>34</v>
      </c>
      <c r="G319" t="s">
        <v>48</v>
      </c>
      <c r="H319" t="s">
        <v>49</v>
      </c>
      <c r="I319" t="s">
        <v>39</v>
      </c>
      <c r="J319" t="s">
        <v>40</v>
      </c>
      <c r="K319">
        <v>3</v>
      </c>
      <c r="L319">
        <v>350</v>
      </c>
      <c r="M319">
        <v>1050</v>
      </c>
      <c r="N319" t="str">
        <f t="shared" si="8"/>
        <v>Jan</v>
      </c>
      <c r="O319" t="str">
        <f t="shared" si="9"/>
        <v>25-34</v>
      </c>
    </row>
    <row r="320" spans="1:15" x14ac:dyDescent="0.25">
      <c r="A320" t="s">
        <v>489</v>
      </c>
      <c r="B320" s="2">
        <v>45871</v>
      </c>
      <c r="C320" t="s">
        <v>308</v>
      </c>
      <c r="D320" t="s">
        <v>62</v>
      </c>
      <c r="E320" t="s">
        <v>16</v>
      </c>
      <c r="F320">
        <v>28</v>
      </c>
      <c r="G320" t="s">
        <v>48</v>
      </c>
      <c r="H320" t="s">
        <v>49</v>
      </c>
      <c r="I320" t="s">
        <v>30</v>
      </c>
      <c r="J320" t="s">
        <v>175</v>
      </c>
      <c r="K320">
        <v>3</v>
      </c>
      <c r="L320">
        <v>1800</v>
      </c>
      <c r="M320">
        <v>5400</v>
      </c>
      <c r="N320" t="str">
        <f t="shared" si="8"/>
        <v>Aug</v>
      </c>
      <c r="O320" t="str">
        <f t="shared" si="9"/>
        <v>25-34</v>
      </c>
    </row>
    <row r="321" spans="1:15" x14ac:dyDescent="0.25">
      <c r="A321" t="s">
        <v>490</v>
      </c>
      <c r="B321" s="2">
        <v>45894</v>
      </c>
      <c r="C321" t="s">
        <v>28</v>
      </c>
      <c r="D321" t="s">
        <v>124</v>
      </c>
      <c r="E321" t="s">
        <v>24</v>
      </c>
      <c r="F321">
        <v>53</v>
      </c>
      <c r="G321" t="s">
        <v>70</v>
      </c>
      <c r="H321" t="s">
        <v>18</v>
      </c>
      <c r="I321" t="s">
        <v>39</v>
      </c>
      <c r="J321" t="s">
        <v>60</v>
      </c>
      <c r="K321">
        <v>5</v>
      </c>
      <c r="L321">
        <v>1500</v>
      </c>
      <c r="M321">
        <v>7500</v>
      </c>
      <c r="N321" t="str">
        <f t="shared" si="8"/>
        <v>Aug</v>
      </c>
      <c r="O321" t="str">
        <f t="shared" si="9"/>
        <v>45+</v>
      </c>
    </row>
    <row r="322" spans="1:15" x14ac:dyDescent="0.25">
      <c r="A322" t="s">
        <v>491</v>
      </c>
      <c r="B322" s="2">
        <v>45788</v>
      </c>
      <c r="C322" t="s">
        <v>215</v>
      </c>
      <c r="D322" t="s">
        <v>93</v>
      </c>
      <c r="E322" t="s">
        <v>24</v>
      </c>
      <c r="F322">
        <v>19</v>
      </c>
      <c r="G322" t="s">
        <v>34</v>
      </c>
      <c r="H322" t="s">
        <v>18</v>
      </c>
      <c r="I322" t="s">
        <v>39</v>
      </c>
      <c r="J322" t="s">
        <v>40</v>
      </c>
      <c r="K322">
        <v>1</v>
      </c>
      <c r="L322">
        <v>350</v>
      </c>
      <c r="M322">
        <v>350</v>
      </c>
      <c r="N322" t="str">
        <f t="shared" si="8"/>
        <v>May</v>
      </c>
      <c r="O322" t="str">
        <f t="shared" si="9"/>
        <v>18-24</v>
      </c>
    </row>
    <row r="323" spans="1:15" x14ac:dyDescent="0.25">
      <c r="A323" t="s">
        <v>492</v>
      </c>
      <c r="B323" s="2">
        <v>45871</v>
      </c>
      <c r="C323" t="s">
        <v>207</v>
      </c>
      <c r="D323" t="s">
        <v>29</v>
      </c>
      <c r="E323" t="s">
        <v>24</v>
      </c>
      <c r="F323">
        <v>36</v>
      </c>
      <c r="G323" t="s">
        <v>75</v>
      </c>
      <c r="H323" t="s">
        <v>49</v>
      </c>
      <c r="I323" t="s">
        <v>39</v>
      </c>
      <c r="J323" t="s">
        <v>53</v>
      </c>
      <c r="K323">
        <v>3</v>
      </c>
      <c r="L323">
        <v>800</v>
      </c>
      <c r="M323">
        <v>2400</v>
      </c>
      <c r="N323" t="str">
        <f t="shared" ref="N323:N386" si="10">TEXT(B323,"mmm")</f>
        <v>Aug</v>
      </c>
      <c r="O323" t="str">
        <f t="shared" si="9"/>
        <v>35-44</v>
      </c>
    </row>
    <row r="324" spans="1:15" x14ac:dyDescent="0.25">
      <c r="A324" t="s">
        <v>493</v>
      </c>
      <c r="B324" s="2">
        <v>46008</v>
      </c>
      <c r="C324" t="s">
        <v>170</v>
      </c>
      <c r="D324" t="s">
        <v>69</v>
      </c>
      <c r="E324" t="s">
        <v>24</v>
      </c>
      <c r="F324">
        <v>19</v>
      </c>
      <c r="G324" t="s">
        <v>25</v>
      </c>
      <c r="H324" t="s">
        <v>26</v>
      </c>
      <c r="I324" t="s">
        <v>65</v>
      </c>
      <c r="J324" t="s">
        <v>125</v>
      </c>
      <c r="K324">
        <v>4</v>
      </c>
      <c r="L324">
        <v>700</v>
      </c>
      <c r="M324">
        <v>2800</v>
      </c>
      <c r="N324" t="str">
        <f t="shared" si="10"/>
        <v>Dec</v>
      </c>
      <c r="O324" t="str">
        <f t="shared" ref="O324:O387" si="11">IF(F324&lt;25,"18-24",IF(F324&lt;35,"25-34",IF(F324&lt;45,"35-44","45+")))</f>
        <v>18-24</v>
      </c>
    </row>
    <row r="325" spans="1:15" x14ac:dyDescent="0.25">
      <c r="A325" t="s">
        <v>494</v>
      </c>
      <c r="B325" s="2">
        <v>45930</v>
      </c>
      <c r="C325" t="s">
        <v>455</v>
      </c>
      <c r="D325" t="s">
        <v>23</v>
      </c>
      <c r="E325" t="s">
        <v>24</v>
      </c>
      <c r="F325">
        <v>46</v>
      </c>
      <c r="G325" t="s">
        <v>34</v>
      </c>
      <c r="H325" t="s">
        <v>18</v>
      </c>
      <c r="I325" t="s">
        <v>79</v>
      </c>
      <c r="J325" t="s">
        <v>208</v>
      </c>
      <c r="K325">
        <v>3</v>
      </c>
      <c r="L325">
        <v>3000</v>
      </c>
      <c r="M325">
        <v>9000</v>
      </c>
      <c r="N325" t="str">
        <f t="shared" si="10"/>
        <v>Sep</v>
      </c>
      <c r="O325" t="str">
        <f t="shared" si="11"/>
        <v>45+</v>
      </c>
    </row>
    <row r="326" spans="1:15" x14ac:dyDescent="0.25">
      <c r="A326" t="s">
        <v>495</v>
      </c>
      <c r="B326" s="2">
        <v>46012</v>
      </c>
      <c r="C326" t="s">
        <v>232</v>
      </c>
      <c r="D326" t="s">
        <v>90</v>
      </c>
      <c r="E326" t="s">
        <v>24</v>
      </c>
      <c r="F326">
        <v>21</v>
      </c>
      <c r="G326" t="s">
        <v>48</v>
      </c>
      <c r="H326" t="s">
        <v>49</v>
      </c>
      <c r="I326" t="s">
        <v>79</v>
      </c>
      <c r="J326" t="s">
        <v>114</v>
      </c>
      <c r="K326">
        <v>1</v>
      </c>
      <c r="L326">
        <v>2500</v>
      </c>
      <c r="M326">
        <v>2500</v>
      </c>
      <c r="N326" t="str">
        <f t="shared" si="10"/>
        <v>Dec</v>
      </c>
      <c r="O326" t="str">
        <f t="shared" si="11"/>
        <v>18-24</v>
      </c>
    </row>
    <row r="327" spans="1:15" x14ac:dyDescent="0.25">
      <c r="A327" t="s">
        <v>496</v>
      </c>
      <c r="B327" s="2">
        <v>45786</v>
      </c>
      <c r="C327" t="s">
        <v>89</v>
      </c>
      <c r="D327" t="s">
        <v>78</v>
      </c>
      <c r="E327" t="s">
        <v>16</v>
      </c>
      <c r="F327">
        <v>18</v>
      </c>
      <c r="G327" t="s">
        <v>38</v>
      </c>
      <c r="H327" t="s">
        <v>26</v>
      </c>
      <c r="I327" t="s">
        <v>30</v>
      </c>
      <c r="J327" t="s">
        <v>71</v>
      </c>
      <c r="K327">
        <v>3</v>
      </c>
      <c r="L327">
        <v>900</v>
      </c>
      <c r="M327">
        <v>2700</v>
      </c>
      <c r="N327" t="str">
        <f t="shared" si="10"/>
        <v>May</v>
      </c>
      <c r="O327" t="str">
        <f t="shared" si="11"/>
        <v>18-24</v>
      </c>
    </row>
    <row r="328" spans="1:15" x14ac:dyDescent="0.25">
      <c r="A328" t="s">
        <v>497</v>
      </c>
      <c r="B328" s="2">
        <v>45849</v>
      </c>
      <c r="C328" t="s">
        <v>264</v>
      </c>
      <c r="D328" t="s">
        <v>83</v>
      </c>
      <c r="E328" t="s">
        <v>16</v>
      </c>
      <c r="F328">
        <v>38</v>
      </c>
      <c r="G328" t="s">
        <v>25</v>
      </c>
      <c r="H328" t="s">
        <v>26</v>
      </c>
      <c r="I328" t="s">
        <v>65</v>
      </c>
      <c r="J328" t="s">
        <v>121</v>
      </c>
      <c r="K328">
        <v>5</v>
      </c>
      <c r="L328">
        <v>900</v>
      </c>
      <c r="M328">
        <v>4500</v>
      </c>
      <c r="N328" t="str">
        <f t="shared" si="10"/>
        <v>Jul</v>
      </c>
      <c r="O328" t="str">
        <f t="shared" si="11"/>
        <v>35-44</v>
      </c>
    </row>
    <row r="329" spans="1:15" x14ac:dyDescent="0.25">
      <c r="A329" t="s">
        <v>498</v>
      </c>
      <c r="B329" s="2">
        <v>46010</v>
      </c>
      <c r="C329" t="s">
        <v>366</v>
      </c>
      <c r="D329" t="s">
        <v>15</v>
      </c>
      <c r="E329" t="s">
        <v>16</v>
      </c>
      <c r="F329">
        <v>31</v>
      </c>
      <c r="G329" t="s">
        <v>38</v>
      </c>
      <c r="H329" t="s">
        <v>26</v>
      </c>
      <c r="I329" t="s">
        <v>65</v>
      </c>
      <c r="J329" t="s">
        <v>121</v>
      </c>
      <c r="K329">
        <v>4</v>
      </c>
      <c r="L329">
        <v>900</v>
      </c>
      <c r="M329">
        <v>3600</v>
      </c>
      <c r="N329" t="str">
        <f t="shared" si="10"/>
        <v>Dec</v>
      </c>
      <c r="O329" t="str">
        <f t="shared" si="11"/>
        <v>25-34</v>
      </c>
    </row>
    <row r="330" spans="1:15" x14ac:dyDescent="0.25">
      <c r="A330" t="s">
        <v>499</v>
      </c>
      <c r="B330" s="2">
        <v>45693</v>
      </c>
      <c r="C330" t="s">
        <v>105</v>
      </c>
      <c r="D330" t="s">
        <v>118</v>
      </c>
      <c r="E330" t="s">
        <v>16</v>
      </c>
      <c r="F330">
        <v>50</v>
      </c>
      <c r="G330" t="s">
        <v>43</v>
      </c>
      <c r="H330" t="s">
        <v>44</v>
      </c>
      <c r="I330" t="s">
        <v>30</v>
      </c>
      <c r="J330" t="s">
        <v>35</v>
      </c>
      <c r="K330">
        <v>4</v>
      </c>
      <c r="L330">
        <v>700</v>
      </c>
      <c r="M330">
        <v>2800</v>
      </c>
      <c r="N330" t="str">
        <f t="shared" si="10"/>
        <v>Feb</v>
      </c>
      <c r="O330" t="str">
        <f t="shared" si="11"/>
        <v>45+</v>
      </c>
    </row>
    <row r="331" spans="1:15" x14ac:dyDescent="0.25">
      <c r="A331" t="s">
        <v>500</v>
      </c>
      <c r="B331" s="2">
        <v>45885</v>
      </c>
      <c r="C331" t="s">
        <v>290</v>
      </c>
      <c r="D331" t="s">
        <v>69</v>
      </c>
      <c r="E331" t="s">
        <v>24</v>
      </c>
      <c r="F331">
        <v>37</v>
      </c>
      <c r="G331" t="s">
        <v>17</v>
      </c>
      <c r="H331" t="s">
        <v>18</v>
      </c>
      <c r="I331" t="s">
        <v>30</v>
      </c>
      <c r="J331" t="s">
        <v>35</v>
      </c>
      <c r="K331">
        <v>5</v>
      </c>
      <c r="L331">
        <v>700</v>
      </c>
      <c r="M331">
        <v>3500</v>
      </c>
      <c r="N331" t="str">
        <f t="shared" si="10"/>
        <v>Aug</v>
      </c>
      <c r="O331" t="str">
        <f t="shared" si="11"/>
        <v>35-44</v>
      </c>
    </row>
    <row r="332" spans="1:15" x14ac:dyDescent="0.25">
      <c r="A332" t="s">
        <v>501</v>
      </c>
      <c r="B332" s="2">
        <v>45901</v>
      </c>
      <c r="C332" t="s">
        <v>123</v>
      </c>
      <c r="D332" t="s">
        <v>78</v>
      </c>
      <c r="E332" t="s">
        <v>16</v>
      </c>
      <c r="F332">
        <v>34</v>
      </c>
      <c r="G332" t="s">
        <v>137</v>
      </c>
      <c r="H332" t="s">
        <v>137</v>
      </c>
      <c r="I332" t="s">
        <v>19</v>
      </c>
      <c r="J332" t="s">
        <v>76</v>
      </c>
      <c r="K332">
        <v>1</v>
      </c>
      <c r="L332">
        <v>2500</v>
      </c>
      <c r="M332">
        <v>2500</v>
      </c>
      <c r="N332" t="str">
        <f t="shared" si="10"/>
        <v>Sep</v>
      </c>
      <c r="O332" t="str">
        <f t="shared" si="11"/>
        <v>25-34</v>
      </c>
    </row>
    <row r="333" spans="1:15" x14ac:dyDescent="0.25">
      <c r="A333" t="s">
        <v>502</v>
      </c>
      <c r="B333" s="2">
        <v>45993</v>
      </c>
      <c r="C333" t="s">
        <v>136</v>
      </c>
      <c r="D333" t="s">
        <v>78</v>
      </c>
      <c r="E333" t="s">
        <v>16</v>
      </c>
      <c r="F333">
        <v>39</v>
      </c>
      <c r="G333" t="s">
        <v>34</v>
      </c>
      <c r="H333" t="s">
        <v>18</v>
      </c>
      <c r="I333" t="s">
        <v>79</v>
      </c>
      <c r="J333" t="s">
        <v>188</v>
      </c>
      <c r="K333">
        <v>1</v>
      </c>
      <c r="L333">
        <v>1800</v>
      </c>
      <c r="M333">
        <v>1800</v>
      </c>
      <c r="N333" t="str">
        <f t="shared" si="10"/>
        <v>Dec</v>
      </c>
      <c r="O333" t="str">
        <f t="shared" si="11"/>
        <v>35-44</v>
      </c>
    </row>
    <row r="334" spans="1:15" x14ac:dyDescent="0.25">
      <c r="A334" t="s">
        <v>503</v>
      </c>
      <c r="B334" s="2">
        <v>45915</v>
      </c>
      <c r="C334" t="s">
        <v>443</v>
      </c>
      <c r="D334" t="s">
        <v>29</v>
      </c>
      <c r="E334" t="s">
        <v>24</v>
      </c>
      <c r="F334">
        <v>27</v>
      </c>
      <c r="G334" t="s">
        <v>38</v>
      </c>
      <c r="H334" t="s">
        <v>26</v>
      </c>
      <c r="I334" t="s">
        <v>39</v>
      </c>
      <c r="J334" t="s">
        <v>40</v>
      </c>
      <c r="K334">
        <v>4</v>
      </c>
      <c r="L334">
        <v>350</v>
      </c>
      <c r="M334">
        <v>1400</v>
      </c>
      <c r="N334" t="str">
        <f t="shared" si="10"/>
        <v>Sep</v>
      </c>
      <c r="O334" t="str">
        <f t="shared" si="11"/>
        <v>25-34</v>
      </c>
    </row>
    <row r="335" spans="1:15" x14ac:dyDescent="0.25">
      <c r="A335" t="s">
        <v>504</v>
      </c>
      <c r="B335" s="2">
        <v>45897</v>
      </c>
      <c r="C335" t="s">
        <v>313</v>
      </c>
      <c r="D335" t="s">
        <v>62</v>
      </c>
      <c r="E335" t="s">
        <v>16</v>
      </c>
      <c r="F335">
        <v>25</v>
      </c>
      <c r="G335" t="s">
        <v>43</v>
      </c>
      <c r="H335" t="s">
        <v>44</v>
      </c>
      <c r="I335" t="s">
        <v>65</v>
      </c>
      <c r="J335" t="s">
        <v>121</v>
      </c>
      <c r="K335">
        <v>1</v>
      </c>
      <c r="L335">
        <v>900</v>
      </c>
      <c r="M335">
        <v>900</v>
      </c>
      <c r="N335" t="str">
        <f t="shared" si="10"/>
        <v>Aug</v>
      </c>
      <c r="O335" t="str">
        <f t="shared" si="11"/>
        <v>25-34</v>
      </c>
    </row>
    <row r="336" spans="1:15" x14ac:dyDescent="0.25">
      <c r="A336" t="s">
        <v>505</v>
      </c>
      <c r="B336" s="2">
        <v>45979</v>
      </c>
      <c r="C336" t="s">
        <v>89</v>
      </c>
      <c r="D336" t="s">
        <v>90</v>
      </c>
      <c r="E336" t="s">
        <v>24</v>
      </c>
      <c r="F336">
        <v>37</v>
      </c>
      <c r="G336" t="s">
        <v>25</v>
      </c>
      <c r="H336" t="s">
        <v>26</v>
      </c>
      <c r="I336" t="s">
        <v>39</v>
      </c>
      <c r="J336" t="s">
        <v>40</v>
      </c>
      <c r="K336">
        <v>5</v>
      </c>
      <c r="L336">
        <v>350</v>
      </c>
      <c r="M336">
        <v>1750</v>
      </c>
      <c r="N336" t="str">
        <f t="shared" si="10"/>
        <v>Nov</v>
      </c>
      <c r="O336" t="str">
        <f t="shared" si="11"/>
        <v>35-44</v>
      </c>
    </row>
    <row r="337" spans="1:15" x14ac:dyDescent="0.25">
      <c r="A337" t="s">
        <v>506</v>
      </c>
      <c r="B337" s="2">
        <v>45916</v>
      </c>
      <c r="C337" t="s">
        <v>273</v>
      </c>
      <c r="D337" t="s">
        <v>118</v>
      </c>
      <c r="E337" t="s">
        <v>16</v>
      </c>
      <c r="F337">
        <v>44</v>
      </c>
      <c r="G337" t="s">
        <v>63</v>
      </c>
      <c r="H337" t="s">
        <v>64</v>
      </c>
      <c r="I337" t="s">
        <v>30</v>
      </c>
      <c r="J337" t="s">
        <v>35</v>
      </c>
      <c r="K337">
        <v>5</v>
      </c>
      <c r="L337">
        <v>700</v>
      </c>
      <c r="M337">
        <v>3500</v>
      </c>
      <c r="N337" t="str">
        <f t="shared" si="10"/>
        <v>Sep</v>
      </c>
      <c r="O337" t="str">
        <f t="shared" si="11"/>
        <v>35-44</v>
      </c>
    </row>
    <row r="338" spans="1:15" x14ac:dyDescent="0.25">
      <c r="A338" t="s">
        <v>507</v>
      </c>
      <c r="B338" s="2">
        <v>45681</v>
      </c>
      <c r="C338" t="s">
        <v>120</v>
      </c>
      <c r="D338" t="s">
        <v>97</v>
      </c>
      <c r="E338" t="s">
        <v>24</v>
      </c>
      <c r="F338">
        <v>42</v>
      </c>
      <c r="G338" t="s">
        <v>63</v>
      </c>
      <c r="H338" t="s">
        <v>64</v>
      </c>
      <c r="I338" t="s">
        <v>79</v>
      </c>
      <c r="J338" t="s">
        <v>80</v>
      </c>
      <c r="K338">
        <v>2</v>
      </c>
      <c r="L338">
        <v>600</v>
      </c>
      <c r="M338">
        <v>1200</v>
      </c>
      <c r="N338" t="str">
        <f t="shared" si="10"/>
        <v>Jan</v>
      </c>
      <c r="O338" t="str">
        <f t="shared" si="11"/>
        <v>35-44</v>
      </c>
    </row>
    <row r="339" spans="1:15" x14ac:dyDescent="0.25">
      <c r="A339" t="s">
        <v>508</v>
      </c>
      <c r="B339" s="2">
        <v>45696</v>
      </c>
      <c r="C339" t="s">
        <v>141</v>
      </c>
      <c r="D339" t="s">
        <v>152</v>
      </c>
      <c r="E339" t="s">
        <v>16</v>
      </c>
      <c r="F339">
        <v>51</v>
      </c>
      <c r="G339" t="s">
        <v>25</v>
      </c>
      <c r="H339" t="s">
        <v>26</v>
      </c>
      <c r="I339" t="s">
        <v>65</v>
      </c>
      <c r="J339" t="s">
        <v>146</v>
      </c>
      <c r="K339">
        <v>2</v>
      </c>
      <c r="L339">
        <v>300</v>
      </c>
      <c r="M339">
        <v>600</v>
      </c>
      <c r="N339" t="str">
        <f t="shared" si="10"/>
        <v>Feb</v>
      </c>
      <c r="O339" t="str">
        <f t="shared" si="11"/>
        <v>45+</v>
      </c>
    </row>
    <row r="340" spans="1:15" x14ac:dyDescent="0.25">
      <c r="A340" t="s">
        <v>509</v>
      </c>
      <c r="B340" s="2">
        <v>45659</v>
      </c>
      <c r="C340" t="s">
        <v>89</v>
      </c>
      <c r="D340" t="s">
        <v>97</v>
      </c>
      <c r="E340" t="s">
        <v>24</v>
      </c>
      <c r="F340">
        <v>28</v>
      </c>
      <c r="G340" t="s">
        <v>25</v>
      </c>
      <c r="H340" t="s">
        <v>26</v>
      </c>
      <c r="I340" t="s">
        <v>19</v>
      </c>
      <c r="J340" t="s">
        <v>45</v>
      </c>
      <c r="K340">
        <v>1</v>
      </c>
      <c r="L340">
        <v>1500</v>
      </c>
      <c r="M340">
        <v>1500</v>
      </c>
      <c r="N340" t="str">
        <f t="shared" si="10"/>
        <v>Jan</v>
      </c>
      <c r="O340" t="str">
        <f t="shared" si="11"/>
        <v>25-34</v>
      </c>
    </row>
    <row r="341" spans="1:15" x14ac:dyDescent="0.25">
      <c r="A341" t="s">
        <v>510</v>
      </c>
      <c r="B341" s="2">
        <v>45989</v>
      </c>
      <c r="C341" t="s">
        <v>195</v>
      </c>
      <c r="D341" t="s">
        <v>59</v>
      </c>
      <c r="E341" t="s">
        <v>24</v>
      </c>
      <c r="F341">
        <v>26</v>
      </c>
      <c r="G341" t="s">
        <v>63</v>
      </c>
      <c r="H341" t="s">
        <v>64</v>
      </c>
      <c r="I341" t="s">
        <v>30</v>
      </c>
      <c r="J341" t="s">
        <v>71</v>
      </c>
      <c r="K341">
        <v>1</v>
      </c>
      <c r="L341">
        <v>900</v>
      </c>
      <c r="M341">
        <v>900</v>
      </c>
      <c r="N341" t="str">
        <f t="shared" si="10"/>
        <v>Nov</v>
      </c>
      <c r="O341" t="str">
        <f t="shared" si="11"/>
        <v>25-34</v>
      </c>
    </row>
    <row r="342" spans="1:15" x14ac:dyDescent="0.25">
      <c r="A342" t="s">
        <v>511</v>
      </c>
      <c r="B342" s="2">
        <v>45718</v>
      </c>
      <c r="C342" t="s">
        <v>130</v>
      </c>
      <c r="D342" t="s">
        <v>74</v>
      </c>
      <c r="E342" t="s">
        <v>16</v>
      </c>
      <c r="F342">
        <v>54</v>
      </c>
      <c r="G342" t="s">
        <v>25</v>
      </c>
      <c r="H342" t="s">
        <v>26</v>
      </c>
      <c r="I342" t="s">
        <v>19</v>
      </c>
      <c r="J342" t="s">
        <v>85</v>
      </c>
      <c r="K342">
        <v>2</v>
      </c>
      <c r="L342">
        <v>800</v>
      </c>
      <c r="M342">
        <v>1600</v>
      </c>
      <c r="N342" t="str">
        <f t="shared" si="10"/>
        <v>Mar</v>
      </c>
      <c r="O342" t="str">
        <f t="shared" si="11"/>
        <v>45+</v>
      </c>
    </row>
    <row r="343" spans="1:15" x14ac:dyDescent="0.25">
      <c r="A343" t="s">
        <v>512</v>
      </c>
      <c r="B343" s="2">
        <v>45990</v>
      </c>
      <c r="C343" t="s">
        <v>255</v>
      </c>
      <c r="D343" t="s">
        <v>59</v>
      </c>
      <c r="E343" t="s">
        <v>24</v>
      </c>
      <c r="F343">
        <v>41</v>
      </c>
      <c r="G343" t="s">
        <v>63</v>
      </c>
      <c r="H343" t="s">
        <v>64</v>
      </c>
      <c r="I343" t="s">
        <v>79</v>
      </c>
      <c r="J343" t="s">
        <v>208</v>
      </c>
      <c r="K343">
        <v>2</v>
      </c>
      <c r="L343">
        <v>3000</v>
      </c>
      <c r="M343">
        <v>6000</v>
      </c>
      <c r="N343" t="str">
        <f t="shared" si="10"/>
        <v>Nov</v>
      </c>
      <c r="O343" t="str">
        <f t="shared" si="11"/>
        <v>35-44</v>
      </c>
    </row>
    <row r="344" spans="1:15" x14ac:dyDescent="0.25">
      <c r="A344" t="s">
        <v>513</v>
      </c>
      <c r="B344" s="2">
        <v>45735</v>
      </c>
      <c r="C344" t="s">
        <v>195</v>
      </c>
      <c r="D344" t="s">
        <v>59</v>
      </c>
      <c r="E344" t="s">
        <v>24</v>
      </c>
      <c r="F344">
        <v>45</v>
      </c>
      <c r="G344" t="s">
        <v>137</v>
      </c>
      <c r="H344" t="s">
        <v>137</v>
      </c>
      <c r="I344" t="s">
        <v>39</v>
      </c>
      <c r="J344" t="s">
        <v>53</v>
      </c>
      <c r="K344">
        <v>2</v>
      </c>
      <c r="L344">
        <v>800</v>
      </c>
      <c r="M344">
        <v>1600</v>
      </c>
      <c r="N344" t="str">
        <f t="shared" si="10"/>
        <v>Mar</v>
      </c>
      <c r="O344" t="str">
        <f t="shared" si="11"/>
        <v>45+</v>
      </c>
    </row>
    <row r="345" spans="1:15" x14ac:dyDescent="0.25">
      <c r="A345" t="s">
        <v>514</v>
      </c>
      <c r="B345" s="2">
        <v>45781</v>
      </c>
      <c r="C345" t="s">
        <v>68</v>
      </c>
      <c r="D345" t="s">
        <v>113</v>
      </c>
      <c r="E345" t="s">
        <v>16</v>
      </c>
      <c r="F345">
        <v>43</v>
      </c>
      <c r="G345" t="s">
        <v>137</v>
      </c>
      <c r="H345" t="s">
        <v>137</v>
      </c>
      <c r="I345" t="s">
        <v>39</v>
      </c>
      <c r="J345" t="s">
        <v>53</v>
      </c>
      <c r="K345">
        <v>5</v>
      </c>
      <c r="L345">
        <v>800</v>
      </c>
      <c r="M345">
        <v>4000</v>
      </c>
      <c r="N345" t="str">
        <f t="shared" si="10"/>
        <v>May</v>
      </c>
      <c r="O345" t="str">
        <f t="shared" si="11"/>
        <v>35-44</v>
      </c>
    </row>
    <row r="346" spans="1:15" x14ac:dyDescent="0.25">
      <c r="A346" t="s">
        <v>515</v>
      </c>
      <c r="B346" s="2">
        <v>45851</v>
      </c>
      <c r="C346" t="s">
        <v>82</v>
      </c>
      <c r="D346" t="s">
        <v>74</v>
      </c>
      <c r="E346" t="s">
        <v>16</v>
      </c>
      <c r="F346">
        <v>46</v>
      </c>
      <c r="G346" t="s">
        <v>43</v>
      </c>
      <c r="H346" t="s">
        <v>44</v>
      </c>
      <c r="I346" t="s">
        <v>79</v>
      </c>
      <c r="J346" t="s">
        <v>80</v>
      </c>
      <c r="K346">
        <v>3</v>
      </c>
      <c r="L346">
        <v>600</v>
      </c>
      <c r="M346">
        <v>1800</v>
      </c>
      <c r="N346" t="str">
        <f t="shared" si="10"/>
        <v>Jul</v>
      </c>
      <c r="O346" t="str">
        <f t="shared" si="11"/>
        <v>45+</v>
      </c>
    </row>
    <row r="347" spans="1:15" x14ac:dyDescent="0.25">
      <c r="A347" t="s">
        <v>516</v>
      </c>
      <c r="B347" s="2">
        <v>45811</v>
      </c>
      <c r="C347" t="s">
        <v>201</v>
      </c>
      <c r="D347" t="s">
        <v>69</v>
      </c>
      <c r="E347" t="s">
        <v>24</v>
      </c>
      <c r="F347">
        <v>37</v>
      </c>
      <c r="G347" t="s">
        <v>38</v>
      </c>
      <c r="H347" t="s">
        <v>26</v>
      </c>
      <c r="I347" t="s">
        <v>30</v>
      </c>
      <c r="J347" t="s">
        <v>31</v>
      </c>
      <c r="K347">
        <v>5</v>
      </c>
      <c r="L347">
        <v>1200</v>
      </c>
      <c r="M347">
        <v>6000</v>
      </c>
      <c r="N347" t="str">
        <f t="shared" si="10"/>
        <v>Jun</v>
      </c>
      <c r="O347" t="str">
        <f t="shared" si="11"/>
        <v>35-44</v>
      </c>
    </row>
    <row r="348" spans="1:15" x14ac:dyDescent="0.25">
      <c r="A348" t="s">
        <v>517</v>
      </c>
      <c r="B348" s="2">
        <v>45916</v>
      </c>
      <c r="C348" t="s">
        <v>308</v>
      </c>
      <c r="D348" t="s">
        <v>56</v>
      </c>
      <c r="E348" t="s">
        <v>16</v>
      </c>
      <c r="F348">
        <v>35</v>
      </c>
      <c r="G348" t="s">
        <v>17</v>
      </c>
      <c r="H348" t="s">
        <v>18</v>
      </c>
      <c r="I348" t="s">
        <v>39</v>
      </c>
      <c r="J348" t="s">
        <v>60</v>
      </c>
      <c r="K348">
        <v>3</v>
      </c>
      <c r="L348">
        <v>1500</v>
      </c>
      <c r="M348">
        <v>4500</v>
      </c>
      <c r="N348" t="str">
        <f t="shared" si="10"/>
        <v>Sep</v>
      </c>
      <c r="O348" t="str">
        <f t="shared" si="11"/>
        <v>35-44</v>
      </c>
    </row>
    <row r="349" spans="1:15" x14ac:dyDescent="0.25">
      <c r="A349" t="s">
        <v>518</v>
      </c>
      <c r="B349" s="2">
        <v>45796</v>
      </c>
      <c r="C349" t="s">
        <v>22</v>
      </c>
      <c r="D349" t="s">
        <v>90</v>
      </c>
      <c r="E349" t="s">
        <v>24</v>
      </c>
      <c r="F349">
        <v>26</v>
      </c>
      <c r="G349" t="s">
        <v>34</v>
      </c>
      <c r="H349" t="s">
        <v>18</v>
      </c>
      <c r="I349" t="s">
        <v>30</v>
      </c>
      <c r="J349" t="s">
        <v>71</v>
      </c>
      <c r="K349">
        <v>5</v>
      </c>
      <c r="L349">
        <v>900</v>
      </c>
      <c r="M349">
        <v>4500</v>
      </c>
      <c r="N349" t="str">
        <f t="shared" si="10"/>
        <v>May</v>
      </c>
      <c r="O349" t="str">
        <f t="shared" si="11"/>
        <v>25-34</v>
      </c>
    </row>
    <row r="350" spans="1:15" x14ac:dyDescent="0.25">
      <c r="A350" t="s">
        <v>519</v>
      </c>
      <c r="B350" s="2">
        <v>45663</v>
      </c>
      <c r="C350" t="s">
        <v>294</v>
      </c>
      <c r="D350" t="s">
        <v>124</v>
      </c>
      <c r="E350" t="s">
        <v>24</v>
      </c>
      <c r="F350">
        <v>28</v>
      </c>
      <c r="G350" t="s">
        <v>63</v>
      </c>
      <c r="H350" t="s">
        <v>64</v>
      </c>
      <c r="I350" t="s">
        <v>30</v>
      </c>
      <c r="J350" t="s">
        <v>71</v>
      </c>
      <c r="K350">
        <v>5</v>
      </c>
      <c r="L350">
        <v>900</v>
      </c>
      <c r="M350">
        <v>4500</v>
      </c>
      <c r="N350" t="str">
        <f t="shared" si="10"/>
        <v>Jan</v>
      </c>
      <c r="O350" t="str">
        <f t="shared" si="11"/>
        <v>25-34</v>
      </c>
    </row>
    <row r="351" spans="1:15" x14ac:dyDescent="0.25">
      <c r="A351" t="s">
        <v>520</v>
      </c>
      <c r="B351" s="2">
        <v>45915</v>
      </c>
      <c r="C351" t="s">
        <v>132</v>
      </c>
      <c r="D351" t="s">
        <v>29</v>
      </c>
      <c r="E351" t="s">
        <v>24</v>
      </c>
      <c r="F351">
        <v>42</v>
      </c>
      <c r="G351" t="s">
        <v>63</v>
      </c>
      <c r="H351" t="s">
        <v>64</v>
      </c>
      <c r="I351" t="s">
        <v>30</v>
      </c>
      <c r="J351" t="s">
        <v>175</v>
      </c>
      <c r="K351">
        <v>1</v>
      </c>
      <c r="L351">
        <v>1800</v>
      </c>
      <c r="M351">
        <v>1800</v>
      </c>
      <c r="N351" t="str">
        <f t="shared" si="10"/>
        <v>Sep</v>
      </c>
      <c r="O351" t="str">
        <f t="shared" si="11"/>
        <v>35-44</v>
      </c>
    </row>
    <row r="352" spans="1:15" x14ac:dyDescent="0.25">
      <c r="A352" t="s">
        <v>521</v>
      </c>
      <c r="B352" s="2">
        <v>45945</v>
      </c>
      <c r="C352" t="s">
        <v>247</v>
      </c>
      <c r="D352" t="s">
        <v>69</v>
      </c>
      <c r="E352" t="s">
        <v>24</v>
      </c>
      <c r="F352">
        <v>22</v>
      </c>
      <c r="G352" t="s">
        <v>17</v>
      </c>
      <c r="H352" t="s">
        <v>18</v>
      </c>
      <c r="I352" t="s">
        <v>39</v>
      </c>
      <c r="J352" t="s">
        <v>53</v>
      </c>
      <c r="K352">
        <v>2</v>
      </c>
      <c r="L352">
        <v>800</v>
      </c>
      <c r="M352">
        <v>1600</v>
      </c>
      <c r="N352" t="str">
        <f t="shared" si="10"/>
        <v>Oct</v>
      </c>
      <c r="O352" t="str">
        <f t="shared" si="11"/>
        <v>18-24</v>
      </c>
    </row>
    <row r="353" spans="1:15" x14ac:dyDescent="0.25">
      <c r="A353" t="s">
        <v>522</v>
      </c>
      <c r="B353" s="2">
        <v>45748</v>
      </c>
      <c r="C353" t="s">
        <v>154</v>
      </c>
      <c r="D353" t="s">
        <v>69</v>
      </c>
      <c r="E353" t="s">
        <v>24</v>
      </c>
      <c r="F353">
        <v>38</v>
      </c>
      <c r="G353" t="s">
        <v>38</v>
      </c>
      <c r="H353" t="s">
        <v>26</v>
      </c>
      <c r="I353" t="s">
        <v>79</v>
      </c>
      <c r="J353" t="s">
        <v>114</v>
      </c>
      <c r="K353">
        <v>4</v>
      </c>
      <c r="L353">
        <v>2500</v>
      </c>
      <c r="M353">
        <v>10000</v>
      </c>
      <c r="N353" t="str">
        <f t="shared" si="10"/>
        <v>Apr</v>
      </c>
      <c r="O353" t="str">
        <f t="shared" si="11"/>
        <v>35-44</v>
      </c>
    </row>
    <row r="354" spans="1:15" x14ac:dyDescent="0.25">
      <c r="A354" t="s">
        <v>523</v>
      </c>
      <c r="B354" s="2">
        <v>45775</v>
      </c>
      <c r="C354" t="s">
        <v>145</v>
      </c>
      <c r="D354" t="s">
        <v>69</v>
      </c>
      <c r="E354" t="s">
        <v>24</v>
      </c>
      <c r="F354">
        <v>39</v>
      </c>
      <c r="G354" t="s">
        <v>25</v>
      </c>
      <c r="H354" t="s">
        <v>26</v>
      </c>
      <c r="I354" t="s">
        <v>30</v>
      </c>
      <c r="J354" t="s">
        <v>175</v>
      </c>
      <c r="K354">
        <v>1</v>
      </c>
      <c r="L354">
        <v>1800</v>
      </c>
      <c r="M354">
        <v>1800</v>
      </c>
      <c r="N354" t="str">
        <f t="shared" si="10"/>
        <v>Apr</v>
      </c>
      <c r="O354" t="str">
        <f t="shared" si="11"/>
        <v>35-44</v>
      </c>
    </row>
    <row r="355" spans="1:15" x14ac:dyDescent="0.25">
      <c r="A355" t="s">
        <v>524</v>
      </c>
      <c r="B355" s="2">
        <v>45776</v>
      </c>
      <c r="C355" t="s">
        <v>319</v>
      </c>
      <c r="D355" t="s">
        <v>56</v>
      </c>
      <c r="E355" t="s">
        <v>16</v>
      </c>
      <c r="F355">
        <v>36</v>
      </c>
      <c r="G355" t="s">
        <v>17</v>
      </c>
      <c r="H355" t="s">
        <v>18</v>
      </c>
      <c r="I355" t="s">
        <v>65</v>
      </c>
      <c r="J355" t="s">
        <v>66</v>
      </c>
      <c r="K355">
        <v>5</v>
      </c>
      <c r="L355">
        <v>500</v>
      </c>
      <c r="M355">
        <v>2500</v>
      </c>
      <c r="N355" t="str">
        <f t="shared" si="10"/>
        <v>Apr</v>
      </c>
      <c r="O355" t="str">
        <f t="shared" si="11"/>
        <v>35-44</v>
      </c>
    </row>
    <row r="356" spans="1:15" x14ac:dyDescent="0.25">
      <c r="A356" t="s">
        <v>525</v>
      </c>
      <c r="B356" s="2">
        <v>45998</v>
      </c>
      <c r="C356" t="s">
        <v>143</v>
      </c>
      <c r="D356" t="s">
        <v>23</v>
      </c>
      <c r="E356" t="s">
        <v>24</v>
      </c>
      <c r="F356">
        <v>52</v>
      </c>
      <c r="G356" t="s">
        <v>137</v>
      </c>
      <c r="H356" t="s">
        <v>137</v>
      </c>
      <c r="I356" t="s">
        <v>65</v>
      </c>
      <c r="J356" t="s">
        <v>66</v>
      </c>
      <c r="K356">
        <v>4</v>
      </c>
      <c r="L356">
        <v>500</v>
      </c>
      <c r="M356">
        <v>2000</v>
      </c>
      <c r="N356" t="str">
        <f t="shared" si="10"/>
        <v>Dec</v>
      </c>
      <c r="O356" t="str">
        <f t="shared" si="11"/>
        <v>45+</v>
      </c>
    </row>
    <row r="357" spans="1:15" x14ac:dyDescent="0.25">
      <c r="A357" t="s">
        <v>526</v>
      </c>
      <c r="B357" s="2">
        <v>46004</v>
      </c>
      <c r="C357" t="s">
        <v>308</v>
      </c>
      <c r="D357" t="s">
        <v>52</v>
      </c>
      <c r="E357" t="s">
        <v>24</v>
      </c>
      <c r="F357">
        <v>55</v>
      </c>
      <c r="G357" t="s">
        <v>48</v>
      </c>
      <c r="H357" t="s">
        <v>49</v>
      </c>
      <c r="I357" t="s">
        <v>30</v>
      </c>
      <c r="J357" t="s">
        <v>71</v>
      </c>
      <c r="K357">
        <v>3</v>
      </c>
      <c r="L357">
        <v>900</v>
      </c>
      <c r="M357">
        <v>2700</v>
      </c>
      <c r="N357" t="str">
        <f t="shared" si="10"/>
        <v>Dec</v>
      </c>
      <c r="O357" t="str">
        <f t="shared" si="11"/>
        <v>45+</v>
      </c>
    </row>
    <row r="358" spans="1:15" x14ac:dyDescent="0.25">
      <c r="A358" t="s">
        <v>527</v>
      </c>
      <c r="B358" s="2">
        <v>45921</v>
      </c>
      <c r="C358" t="s">
        <v>383</v>
      </c>
      <c r="D358" t="s">
        <v>152</v>
      </c>
      <c r="E358" t="s">
        <v>16</v>
      </c>
      <c r="F358">
        <v>23</v>
      </c>
      <c r="G358" t="s">
        <v>43</v>
      </c>
      <c r="H358" t="s">
        <v>44</v>
      </c>
      <c r="I358" t="s">
        <v>30</v>
      </c>
      <c r="J358" t="s">
        <v>31</v>
      </c>
      <c r="K358">
        <v>3</v>
      </c>
      <c r="L358">
        <v>1200</v>
      </c>
      <c r="M358">
        <v>3600</v>
      </c>
      <c r="N358" t="str">
        <f t="shared" si="10"/>
        <v>Sep</v>
      </c>
      <c r="O358" t="str">
        <f t="shared" si="11"/>
        <v>18-24</v>
      </c>
    </row>
    <row r="359" spans="1:15" x14ac:dyDescent="0.25">
      <c r="A359" t="s">
        <v>528</v>
      </c>
      <c r="B359" s="2">
        <v>46011</v>
      </c>
      <c r="C359" t="s">
        <v>96</v>
      </c>
      <c r="D359" t="s">
        <v>74</v>
      </c>
      <c r="E359" t="s">
        <v>16</v>
      </c>
      <c r="F359">
        <v>48</v>
      </c>
      <c r="G359" t="s">
        <v>48</v>
      </c>
      <c r="H359" t="s">
        <v>49</v>
      </c>
      <c r="I359" t="s">
        <v>65</v>
      </c>
      <c r="J359" t="s">
        <v>125</v>
      </c>
      <c r="K359">
        <v>2</v>
      </c>
      <c r="L359">
        <v>700</v>
      </c>
      <c r="M359">
        <v>1400</v>
      </c>
      <c r="N359" t="str">
        <f t="shared" si="10"/>
        <v>Dec</v>
      </c>
      <c r="O359" t="str">
        <f t="shared" si="11"/>
        <v>45+</v>
      </c>
    </row>
    <row r="360" spans="1:15" x14ac:dyDescent="0.25">
      <c r="A360" t="s">
        <v>529</v>
      </c>
      <c r="B360" s="2">
        <v>45866</v>
      </c>
      <c r="C360" t="s">
        <v>425</v>
      </c>
      <c r="D360" t="s">
        <v>118</v>
      </c>
      <c r="E360" t="s">
        <v>16</v>
      </c>
      <c r="F360">
        <v>46</v>
      </c>
      <c r="G360" t="s">
        <v>75</v>
      </c>
      <c r="H360" t="s">
        <v>49</v>
      </c>
      <c r="I360" t="s">
        <v>30</v>
      </c>
      <c r="J360" t="s">
        <v>175</v>
      </c>
      <c r="K360">
        <v>1</v>
      </c>
      <c r="L360">
        <v>1800</v>
      </c>
      <c r="M360">
        <v>1800</v>
      </c>
      <c r="N360" t="str">
        <f t="shared" si="10"/>
        <v>Jul</v>
      </c>
      <c r="O360" t="str">
        <f t="shared" si="11"/>
        <v>45+</v>
      </c>
    </row>
    <row r="361" spans="1:15" x14ac:dyDescent="0.25">
      <c r="A361" t="s">
        <v>530</v>
      </c>
      <c r="B361" s="2">
        <v>45853</v>
      </c>
      <c r="C361" t="s">
        <v>150</v>
      </c>
      <c r="D361" t="s">
        <v>93</v>
      </c>
      <c r="E361" t="s">
        <v>24</v>
      </c>
      <c r="F361">
        <v>39</v>
      </c>
      <c r="G361" t="s">
        <v>34</v>
      </c>
      <c r="H361" t="s">
        <v>18</v>
      </c>
      <c r="I361" t="s">
        <v>65</v>
      </c>
      <c r="J361" t="s">
        <v>125</v>
      </c>
      <c r="K361">
        <v>4</v>
      </c>
      <c r="L361">
        <v>700</v>
      </c>
      <c r="M361">
        <v>2800</v>
      </c>
      <c r="N361" t="str">
        <f t="shared" si="10"/>
        <v>Jul</v>
      </c>
      <c r="O361" t="str">
        <f t="shared" si="11"/>
        <v>35-44</v>
      </c>
    </row>
    <row r="362" spans="1:15" x14ac:dyDescent="0.25">
      <c r="A362" t="s">
        <v>531</v>
      </c>
      <c r="B362" s="2">
        <v>45848</v>
      </c>
      <c r="C362" t="s">
        <v>110</v>
      </c>
      <c r="D362" t="s">
        <v>152</v>
      </c>
      <c r="E362" t="s">
        <v>16</v>
      </c>
      <c r="F362">
        <v>20</v>
      </c>
      <c r="G362" t="s">
        <v>137</v>
      </c>
      <c r="H362" t="s">
        <v>137</v>
      </c>
      <c r="I362" t="s">
        <v>79</v>
      </c>
      <c r="J362" t="s">
        <v>80</v>
      </c>
      <c r="K362">
        <v>3</v>
      </c>
      <c r="L362">
        <v>600</v>
      </c>
      <c r="M362">
        <v>1800</v>
      </c>
      <c r="N362" t="str">
        <f t="shared" si="10"/>
        <v>Jul</v>
      </c>
      <c r="O362" t="str">
        <f t="shared" si="11"/>
        <v>18-24</v>
      </c>
    </row>
    <row r="363" spans="1:15" x14ac:dyDescent="0.25">
      <c r="A363" t="s">
        <v>532</v>
      </c>
      <c r="B363" s="2">
        <v>45903</v>
      </c>
      <c r="C363" t="s">
        <v>215</v>
      </c>
      <c r="D363" t="s">
        <v>62</v>
      </c>
      <c r="E363" t="s">
        <v>16</v>
      </c>
      <c r="F363">
        <v>39</v>
      </c>
      <c r="G363" t="s">
        <v>70</v>
      </c>
      <c r="H363" t="s">
        <v>18</v>
      </c>
      <c r="I363" t="s">
        <v>65</v>
      </c>
      <c r="J363" t="s">
        <v>146</v>
      </c>
      <c r="K363">
        <v>5</v>
      </c>
      <c r="L363">
        <v>300</v>
      </c>
      <c r="M363">
        <v>1500</v>
      </c>
      <c r="N363" t="str">
        <f t="shared" si="10"/>
        <v>Sep</v>
      </c>
      <c r="O363" t="str">
        <f t="shared" si="11"/>
        <v>35-44</v>
      </c>
    </row>
    <row r="364" spans="1:15" x14ac:dyDescent="0.25">
      <c r="A364" t="s">
        <v>533</v>
      </c>
      <c r="B364" s="2">
        <v>45906</v>
      </c>
      <c r="C364" t="s">
        <v>51</v>
      </c>
      <c r="D364" t="s">
        <v>59</v>
      </c>
      <c r="E364" t="s">
        <v>24</v>
      </c>
      <c r="F364">
        <v>18</v>
      </c>
      <c r="G364" t="s">
        <v>75</v>
      </c>
      <c r="H364" t="s">
        <v>49</v>
      </c>
      <c r="I364" t="s">
        <v>39</v>
      </c>
      <c r="J364" t="s">
        <v>94</v>
      </c>
      <c r="K364">
        <v>1</v>
      </c>
      <c r="L364">
        <v>600</v>
      </c>
      <c r="M364">
        <v>600</v>
      </c>
      <c r="N364" t="str">
        <f t="shared" si="10"/>
        <v>Sep</v>
      </c>
      <c r="O364" t="str">
        <f t="shared" si="11"/>
        <v>18-24</v>
      </c>
    </row>
    <row r="365" spans="1:15" x14ac:dyDescent="0.25">
      <c r="A365" t="s">
        <v>534</v>
      </c>
      <c r="B365" s="2">
        <v>45894</v>
      </c>
      <c r="C365" t="s">
        <v>455</v>
      </c>
      <c r="D365" t="s">
        <v>56</v>
      </c>
      <c r="E365" t="s">
        <v>16</v>
      </c>
      <c r="F365">
        <v>34</v>
      </c>
      <c r="G365" t="s">
        <v>17</v>
      </c>
      <c r="H365" t="s">
        <v>18</v>
      </c>
      <c r="I365" t="s">
        <v>19</v>
      </c>
      <c r="J365" t="s">
        <v>20</v>
      </c>
      <c r="K365">
        <v>5</v>
      </c>
      <c r="L365">
        <v>5000</v>
      </c>
      <c r="M365">
        <v>25000</v>
      </c>
      <c r="N365" t="str">
        <f t="shared" si="10"/>
        <v>Aug</v>
      </c>
      <c r="O365" t="str">
        <f t="shared" si="11"/>
        <v>25-34</v>
      </c>
    </row>
    <row r="366" spans="1:15" x14ac:dyDescent="0.25">
      <c r="A366" t="s">
        <v>535</v>
      </c>
      <c r="B366" s="2">
        <v>45743</v>
      </c>
      <c r="C366" t="s">
        <v>180</v>
      </c>
      <c r="D366" t="s">
        <v>74</v>
      </c>
      <c r="E366" t="s">
        <v>16</v>
      </c>
      <c r="F366">
        <v>37</v>
      </c>
      <c r="G366" t="s">
        <v>137</v>
      </c>
      <c r="H366" t="s">
        <v>137</v>
      </c>
      <c r="I366" t="s">
        <v>30</v>
      </c>
      <c r="J366" t="s">
        <v>31</v>
      </c>
      <c r="K366">
        <v>1</v>
      </c>
      <c r="L366">
        <v>1200</v>
      </c>
      <c r="M366">
        <v>1200</v>
      </c>
      <c r="N366" t="str">
        <f t="shared" si="10"/>
        <v>Mar</v>
      </c>
      <c r="O366" t="str">
        <f t="shared" si="11"/>
        <v>35-44</v>
      </c>
    </row>
    <row r="367" spans="1:15" x14ac:dyDescent="0.25">
      <c r="A367" t="s">
        <v>536</v>
      </c>
      <c r="B367" s="2">
        <v>45711</v>
      </c>
      <c r="C367" t="s">
        <v>222</v>
      </c>
      <c r="D367" t="s">
        <v>83</v>
      </c>
      <c r="E367" t="s">
        <v>16</v>
      </c>
      <c r="F367">
        <v>25</v>
      </c>
      <c r="G367" t="s">
        <v>17</v>
      </c>
      <c r="H367" t="s">
        <v>18</v>
      </c>
      <c r="I367" t="s">
        <v>79</v>
      </c>
      <c r="J367" t="s">
        <v>114</v>
      </c>
      <c r="K367">
        <v>3</v>
      </c>
      <c r="L367">
        <v>2500</v>
      </c>
      <c r="M367">
        <v>7500</v>
      </c>
      <c r="N367" t="str">
        <f t="shared" si="10"/>
        <v>Feb</v>
      </c>
      <c r="O367" t="str">
        <f t="shared" si="11"/>
        <v>25-34</v>
      </c>
    </row>
    <row r="368" spans="1:15" x14ac:dyDescent="0.25">
      <c r="A368" t="s">
        <v>537</v>
      </c>
      <c r="B368" s="2">
        <v>45949</v>
      </c>
      <c r="C368" t="s">
        <v>222</v>
      </c>
      <c r="D368" t="s">
        <v>152</v>
      </c>
      <c r="E368" t="s">
        <v>16</v>
      </c>
      <c r="F368">
        <v>44</v>
      </c>
      <c r="G368" t="s">
        <v>25</v>
      </c>
      <c r="H368" t="s">
        <v>26</v>
      </c>
      <c r="I368" t="s">
        <v>19</v>
      </c>
      <c r="J368" t="s">
        <v>45</v>
      </c>
      <c r="K368">
        <v>2</v>
      </c>
      <c r="L368">
        <v>1500</v>
      </c>
      <c r="M368">
        <v>3000</v>
      </c>
      <c r="N368" t="str">
        <f t="shared" si="10"/>
        <v>Oct</v>
      </c>
      <c r="O368" t="str">
        <f t="shared" si="11"/>
        <v>35-44</v>
      </c>
    </row>
    <row r="369" spans="1:15" x14ac:dyDescent="0.25">
      <c r="A369" t="s">
        <v>538</v>
      </c>
      <c r="B369" s="2">
        <v>45830</v>
      </c>
      <c r="C369" t="s">
        <v>264</v>
      </c>
      <c r="D369" t="s">
        <v>69</v>
      </c>
      <c r="E369" t="s">
        <v>24</v>
      </c>
      <c r="F369">
        <v>44</v>
      </c>
      <c r="G369" t="s">
        <v>34</v>
      </c>
      <c r="H369" t="s">
        <v>18</v>
      </c>
      <c r="I369" t="s">
        <v>79</v>
      </c>
      <c r="J369" t="s">
        <v>114</v>
      </c>
      <c r="K369">
        <v>5</v>
      </c>
      <c r="L369">
        <v>2500</v>
      </c>
      <c r="M369">
        <v>12500</v>
      </c>
      <c r="N369" t="str">
        <f t="shared" si="10"/>
        <v>Jun</v>
      </c>
      <c r="O369" t="str">
        <f t="shared" si="11"/>
        <v>35-44</v>
      </c>
    </row>
    <row r="370" spans="1:15" x14ac:dyDescent="0.25">
      <c r="A370" t="s">
        <v>539</v>
      </c>
      <c r="B370" s="2">
        <v>45916</v>
      </c>
      <c r="C370" t="s">
        <v>117</v>
      </c>
      <c r="D370" t="s">
        <v>113</v>
      </c>
      <c r="E370" t="s">
        <v>16</v>
      </c>
      <c r="F370">
        <v>34</v>
      </c>
      <c r="G370" t="s">
        <v>43</v>
      </c>
      <c r="H370" t="s">
        <v>44</v>
      </c>
      <c r="I370" t="s">
        <v>79</v>
      </c>
      <c r="J370" t="s">
        <v>188</v>
      </c>
      <c r="K370">
        <v>2</v>
      </c>
      <c r="L370">
        <v>1800</v>
      </c>
      <c r="M370">
        <v>3600</v>
      </c>
      <c r="N370" t="str">
        <f t="shared" si="10"/>
        <v>Sep</v>
      </c>
      <c r="O370" t="str">
        <f t="shared" si="11"/>
        <v>25-34</v>
      </c>
    </row>
    <row r="371" spans="1:15" x14ac:dyDescent="0.25">
      <c r="A371" t="s">
        <v>540</v>
      </c>
      <c r="B371" s="2">
        <v>45741</v>
      </c>
      <c r="C371" t="s">
        <v>224</v>
      </c>
      <c r="D371" t="s">
        <v>90</v>
      </c>
      <c r="E371" t="s">
        <v>24</v>
      </c>
      <c r="F371">
        <v>32</v>
      </c>
      <c r="G371" t="s">
        <v>43</v>
      </c>
      <c r="H371" t="s">
        <v>44</v>
      </c>
      <c r="I371" t="s">
        <v>39</v>
      </c>
      <c r="J371" t="s">
        <v>40</v>
      </c>
      <c r="K371">
        <v>3</v>
      </c>
      <c r="L371">
        <v>350</v>
      </c>
      <c r="M371">
        <v>1050</v>
      </c>
      <c r="N371" t="str">
        <f t="shared" si="10"/>
        <v>Mar</v>
      </c>
      <c r="O371" t="str">
        <f t="shared" si="11"/>
        <v>25-34</v>
      </c>
    </row>
    <row r="372" spans="1:15" x14ac:dyDescent="0.25">
      <c r="A372" t="s">
        <v>541</v>
      </c>
      <c r="B372" s="2">
        <v>45680</v>
      </c>
      <c r="C372" t="s">
        <v>267</v>
      </c>
      <c r="D372" t="s">
        <v>93</v>
      </c>
      <c r="E372" t="s">
        <v>24</v>
      </c>
      <c r="F372">
        <v>28</v>
      </c>
      <c r="G372" t="s">
        <v>34</v>
      </c>
      <c r="H372" t="s">
        <v>18</v>
      </c>
      <c r="I372" t="s">
        <v>30</v>
      </c>
      <c r="J372" t="s">
        <v>31</v>
      </c>
      <c r="K372">
        <v>5</v>
      </c>
      <c r="L372">
        <v>1200</v>
      </c>
      <c r="M372">
        <v>6000</v>
      </c>
      <c r="N372" t="str">
        <f t="shared" si="10"/>
        <v>Jan</v>
      </c>
      <c r="O372" t="str">
        <f t="shared" si="11"/>
        <v>25-34</v>
      </c>
    </row>
    <row r="373" spans="1:15" x14ac:dyDescent="0.25">
      <c r="A373" t="s">
        <v>542</v>
      </c>
      <c r="B373" s="2">
        <v>45834</v>
      </c>
      <c r="C373" t="s">
        <v>168</v>
      </c>
      <c r="D373" t="s">
        <v>56</v>
      </c>
      <c r="E373" t="s">
        <v>16</v>
      </c>
      <c r="F373">
        <v>32</v>
      </c>
      <c r="G373" t="s">
        <v>75</v>
      </c>
      <c r="H373" t="s">
        <v>49</v>
      </c>
      <c r="I373" t="s">
        <v>39</v>
      </c>
      <c r="J373" t="s">
        <v>53</v>
      </c>
      <c r="K373">
        <v>4</v>
      </c>
      <c r="L373">
        <v>800</v>
      </c>
      <c r="M373">
        <v>3200</v>
      </c>
      <c r="N373" t="str">
        <f t="shared" si="10"/>
        <v>Jun</v>
      </c>
      <c r="O373" t="str">
        <f t="shared" si="11"/>
        <v>25-34</v>
      </c>
    </row>
    <row r="374" spans="1:15" x14ac:dyDescent="0.25">
      <c r="A374" t="s">
        <v>543</v>
      </c>
      <c r="B374" s="2">
        <v>45731</v>
      </c>
      <c r="C374" t="s">
        <v>290</v>
      </c>
      <c r="D374" t="s">
        <v>56</v>
      </c>
      <c r="E374" t="s">
        <v>16</v>
      </c>
      <c r="F374">
        <v>37</v>
      </c>
      <c r="G374" t="s">
        <v>17</v>
      </c>
      <c r="H374" t="s">
        <v>18</v>
      </c>
      <c r="I374" t="s">
        <v>19</v>
      </c>
      <c r="J374" t="s">
        <v>45</v>
      </c>
      <c r="K374">
        <v>4</v>
      </c>
      <c r="L374">
        <v>1500</v>
      </c>
      <c r="M374">
        <v>6000</v>
      </c>
      <c r="N374" t="str">
        <f t="shared" si="10"/>
        <v>Mar</v>
      </c>
      <c r="O374" t="str">
        <f t="shared" si="11"/>
        <v>35-44</v>
      </c>
    </row>
    <row r="375" spans="1:15" x14ac:dyDescent="0.25">
      <c r="A375" t="s">
        <v>544</v>
      </c>
      <c r="B375" s="2">
        <v>46009</v>
      </c>
      <c r="C375" t="s">
        <v>545</v>
      </c>
      <c r="D375" t="s">
        <v>74</v>
      </c>
      <c r="E375" t="s">
        <v>16</v>
      </c>
      <c r="F375">
        <v>45</v>
      </c>
      <c r="G375" t="s">
        <v>48</v>
      </c>
      <c r="H375" t="s">
        <v>49</v>
      </c>
      <c r="I375" t="s">
        <v>30</v>
      </c>
      <c r="J375" t="s">
        <v>71</v>
      </c>
      <c r="K375">
        <v>1</v>
      </c>
      <c r="L375">
        <v>900</v>
      </c>
      <c r="M375">
        <v>900</v>
      </c>
      <c r="N375" t="str">
        <f t="shared" si="10"/>
        <v>Dec</v>
      </c>
      <c r="O375" t="str">
        <f t="shared" si="11"/>
        <v>45+</v>
      </c>
    </row>
    <row r="376" spans="1:15" x14ac:dyDescent="0.25">
      <c r="A376" t="s">
        <v>546</v>
      </c>
      <c r="B376" s="2">
        <v>45960</v>
      </c>
      <c r="C376" t="s">
        <v>42</v>
      </c>
      <c r="D376" t="s">
        <v>113</v>
      </c>
      <c r="E376" t="s">
        <v>16</v>
      </c>
      <c r="F376">
        <v>47</v>
      </c>
      <c r="G376" t="s">
        <v>70</v>
      </c>
      <c r="H376" t="s">
        <v>18</v>
      </c>
      <c r="I376" t="s">
        <v>65</v>
      </c>
      <c r="J376" t="s">
        <v>125</v>
      </c>
      <c r="K376">
        <v>5</v>
      </c>
      <c r="L376">
        <v>700</v>
      </c>
      <c r="M376">
        <v>3500</v>
      </c>
      <c r="N376" t="str">
        <f t="shared" si="10"/>
        <v>Oct</v>
      </c>
      <c r="O376" t="str">
        <f t="shared" si="11"/>
        <v>45+</v>
      </c>
    </row>
    <row r="377" spans="1:15" x14ac:dyDescent="0.25">
      <c r="A377" t="s">
        <v>547</v>
      </c>
      <c r="B377" s="2">
        <v>45958</v>
      </c>
      <c r="C377" t="s">
        <v>213</v>
      </c>
      <c r="D377" t="s">
        <v>59</v>
      </c>
      <c r="E377" t="s">
        <v>24</v>
      </c>
      <c r="F377">
        <v>48</v>
      </c>
      <c r="G377" t="s">
        <v>75</v>
      </c>
      <c r="H377" t="s">
        <v>49</v>
      </c>
      <c r="I377" t="s">
        <v>39</v>
      </c>
      <c r="J377" t="s">
        <v>40</v>
      </c>
      <c r="K377">
        <v>3</v>
      </c>
      <c r="L377">
        <v>350</v>
      </c>
      <c r="M377">
        <v>1050</v>
      </c>
      <c r="N377" t="str">
        <f t="shared" si="10"/>
        <v>Oct</v>
      </c>
      <c r="O377" t="str">
        <f t="shared" si="11"/>
        <v>45+</v>
      </c>
    </row>
    <row r="378" spans="1:15" x14ac:dyDescent="0.25">
      <c r="A378" t="s">
        <v>548</v>
      </c>
      <c r="B378" s="2">
        <v>45810</v>
      </c>
      <c r="C378" t="s">
        <v>14</v>
      </c>
      <c r="D378" t="s">
        <v>152</v>
      </c>
      <c r="E378" t="s">
        <v>16</v>
      </c>
      <c r="F378">
        <v>32</v>
      </c>
      <c r="G378" t="s">
        <v>48</v>
      </c>
      <c r="H378" t="s">
        <v>49</v>
      </c>
      <c r="I378" t="s">
        <v>30</v>
      </c>
      <c r="J378" t="s">
        <v>35</v>
      </c>
      <c r="K378">
        <v>1</v>
      </c>
      <c r="L378">
        <v>700</v>
      </c>
      <c r="M378">
        <v>700</v>
      </c>
      <c r="N378" t="str">
        <f t="shared" si="10"/>
        <v>Jun</v>
      </c>
      <c r="O378" t="str">
        <f t="shared" si="11"/>
        <v>25-34</v>
      </c>
    </row>
    <row r="379" spans="1:15" x14ac:dyDescent="0.25">
      <c r="A379" t="s">
        <v>549</v>
      </c>
      <c r="B379" s="2">
        <v>45980</v>
      </c>
      <c r="C379" t="s">
        <v>300</v>
      </c>
      <c r="D379" t="s">
        <v>118</v>
      </c>
      <c r="E379" t="s">
        <v>16</v>
      </c>
      <c r="F379">
        <v>39</v>
      </c>
      <c r="G379" t="s">
        <v>75</v>
      </c>
      <c r="H379" t="s">
        <v>49</v>
      </c>
      <c r="I379" t="s">
        <v>39</v>
      </c>
      <c r="J379" t="s">
        <v>60</v>
      </c>
      <c r="K379">
        <v>5</v>
      </c>
      <c r="L379">
        <v>1500</v>
      </c>
      <c r="M379">
        <v>7500</v>
      </c>
      <c r="N379" t="str">
        <f t="shared" si="10"/>
        <v>Nov</v>
      </c>
      <c r="O379" t="str">
        <f t="shared" si="11"/>
        <v>35-44</v>
      </c>
    </row>
    <row r="380" spans="1:15" x14ac:dyDescent="0.25">
      <c r="A380" t="s">
        <v>550</v>
      </c>
      <c r="B380" s="2">
        <v>45744</v>
      </c>
      <c r="C380" t="s">
        <v>33</v>
      </c>
      <c r="D380" t="s">
        <v>52</v>
      </c>
      <c r="E380" t="s">
        <v>24</v>
      </c>
      <c r="F380">
        <v>39</v>
      </c>
      <c r="G380" t="s">
        <v>48</v>
      </c>
      <c r="H380" t="s">
        <v>49</v>
      </c>
      <c r="I380" t="s">
        <v>30</v>
      </c>
      <c r="J380" t="s">
        <v>31</v>
      </c>
      <c r="K380">
        <v>3</v>
      </c>
      <c r="L380">
        <v>1200</v>
      </c>
      <c r="M380">
        <v>3600</v>
      </c>
      <c r="N380" t="str">
        <f t="shared" si="10"/>
        <v>Mar</v>
      </c>
      <c r="O380" t="str">
        <f t="shared" si="11"/>
        <v>35-44</v>
      </c>
    </row>
    <row r="381" spans="1:15" x14ac:dyDescent="0.25">
      <c r="A381" t="s">
        <v>551</v>
      </c>
      <c r="B381" s="2">
        <v>45961</v>
      </c>
      <c r="C381" t="s">
        <v>294</v>
      </c>
      <c r="D381" t="s">
        <v>106</v>
      </c>
      <c r="E381" t="s">
        <v>24</v>
      </c>
      <c r="F381">
        <v>32</v>
      </c>
      <c r="G381" t="s">
        <v>17</v>
      </c>
      <c r="H381" t="s">
        <v>18</v>
      </c>
      <c r="I381" t="s">
        <v>39</v>
      </c>
      <c r="J381" t="s">
        <v>53</v>
      </c>
      <c r="K381">
        <v>4</v>
      </c>
      <c r="L381">
        <v>800</v>
      </c>
      <c r="M381">
        <v>3200</v>
      </c>
      <c r="N381" t="str">
        <f t="shared" si="10"/>
        <v>Oct</v>
      </c>
      <c r="O381" t="str">
        <f t="shared" si="11"/>
        <v>25-34</v>
      </c>
    </row>
    <row r="382" spans="1:15" x14ac:dyDescent="0.25">
      <c r="A382" t="s">
        <v>552</v>
      </c>
      <c r="B382" s="2">
        <v>45980</v>
      </c>
      <c r="C382" t="s">
        <v>180</v>
      </c>
      <c r="D382" t="s">
        <v>69</v>
      </c>
      <c r="E382" t="s">
        <v>24</v>
      </c>
      <c r="F382">
        <v>39</v>
      </c>
      <c r="G382" t="s">
        <v>137</v>
      </c>
      <c r="H382" t="s">
        <v>137</v>
      </c>
      <c r="I382" t="s">
        <v>65</v>
      </c>
      <c r="J382" t="s">
        <v>66</v>
      </c>
      <c r="K382">
        <v>3</v>
      </c>
      <c r="L382">
        <v>500</v>
      </c>
      <c r="M382">
        <v>1500</v>
      </c>
      <c r="N382" t="str">
        <f t="shared" si="10"/>
        <v>Nov</v>
      </c>
      <c r="O382" t="str">
        <f t="shared" si="11"/>
        <v>35-44</v>
      </c>
    </row>
    <row r="383" spans="1:15" x14ac:dyDescent="0.25">
      <c r="A383" t="s">
        <v>553</v>
      </c>
      <c r="B383" s="2">
        <v>45981</v>
      </c>
      <c r="C383" t="s">
        <v>247</v>
      </c>
      <c r="D383" t="s">
        <v>56</v>
      </c>
      <c r="E383" t="s">
        <v>16</v>
      </c>
      <c r="F383">
        <v>32</v>
      </c>
      <c r="G383" t="s">
        <v>34</v>
      </c>
      <c r="H383" t="s">
        <v>18</v>
      </c>
      <c r="I383" t="s">
        <v>65</v>
      </c>
      <c r="J383" t="s">
        <v>125</v>
      </c>
      <c r="K383">
        <v>5</v>
      </c>
      <c r="L383">
        <v>700</v>
      </c>
      <c r="M383">
        <v>3500</v>
      </c>
      <c r="N383" t="str">
        <f t="shared" si="10"/>
        <v>Nov</v>
      </c>
      <c r="O383" t="str">
        <f t="shared" si="11"/>
        <v>25-34</v>
      </c>
    </row>
    <row r="384" spans="1:15" x14ac:dyDescent="0.25">
      <c r="A384" t="s">
        <v>554</v>
      </c>
      <c r="B384" s="2">
        <v>45991</v>
      </c>
      <c r="C384" t="s">
        <v>232</v>
      </c>
      <c r="D384" t="s">
        <v>97</v>
      </c>
      <c r="E384" t="s">
        <v>24</v>
      </c>
      <c r="F384">
        <v>31</v>
      </c>
      <c r="G384" t="s">
        <v>17</v>
      </c>
      <c r="H384" t="s">
        <v>18</v>
      </c>
      <c r="I384" t="s">
        <v>30</v>
      </c>
      <c r="J384" t="s">
        <v>31</v>
      </c>
      <c r="K384">
        <v>3</v>
      </c>
      <c r="L384">
        <v>1200</v>
      </c>
      <c r="M384">
        <v>3600</v>
      </c>
      <c r="N384" t="str">
        <f t="shared" si="10"/>
        <v>Nov</v>
      </c>
      <c r="O384" t="str">
        <f t="shared" si="11"/>
        <v>25-34</v>
      </c>
    </row>
    <row r="385" spans="1:15" x14ac:dyDescent="0.25">
      <c r="A385" t="s">
        <v>555</v>
      </c>
      <c r="B385" s="2">
        <v>45794</v>
      </c>
      <c r="C385" t="s">
        <v>28</v>
      </c>
      <c r="D385" t="s">
        <v>83</v>
      </c>
      <c r="E385" t="s">
        <v>16</v>
      </c>
      <c r="F385">
        <v>39</v>
      </c>
      <c r="G385" t="s">
        <v>70</v>
      </c>
      <c r="H385" t="s">
        <v>18</v>
      </c>
      <c r="I385" t="s">
        <v>30</v>
      </c>
      <c r="J385" t="s">
        <v>71</v>
      </c>
      <c r="K385">
        <v>5</v>
      </c>
      <c r="L385">
        <v>900</v>
      </c>
      <c r="M385">
        <v>4500</v>
      </c>
      <c r="N385" t="str">
        <f t="shared" si="10"/>
        <v>May</v>
      </c>
      <c r="O385" t="str">
        <f t="shared" si="11"/>
        <v>35-44</v>
      </c>
    </row>
    <row r="386" spans="1:15" x14ac:dyDescent="0.25">
      <c r="A386" t="s">
        <v>556</v>
      </c>
      <c r="B386" s="2">
        <v>45982</v>
      </c>
      <c r="C386" t="s">
        <v>311</v>
      </c>
      <c r="D386" t="s">
        <v>152</v>
      </c>
      <c r="E386" t="s">
        <v>16</v>
      </c>
      <c r="F386">
        <v>51</v>
      </c>
      <c r="G386" t="s">
        <v>34</v>
      </c>
      <c r="H386" t="s">
        <v>18</v>
      </c>
      <c r="I386" t="s">
        <v>30</v>
      </c>
      <c r="J386" t="s">
        <v>31</v>
      </c>
      <c r="K386">
        <v>5</v>
      </c>
      <c r="L386">
        <v>1200</v>
      </c>
      <c r="M386">
        <v>6000</v>
      </c>
      <c r="N386" t="str">
        <f t="shared" si="10"/>
        <v>Nov</v>
      </c>
      <c r="O386" t="str">
        <f t="shared" si="11"/>
        <v>45+</v>
      </c>
    </row>
    <row r="387" spans="1:15" x14ac:dyDescent="0.25">
      <c r="A387" t="s">
        <v>557</v>
      </c>
      <c r="B387" s="2">
        <v>45723</v>
      </c>
      <c r="C387" t="s">
        <v>199</v>
      </c>
      <c r="D387" t="s">
        <v>69</v>
      </c>
      <c r="E387" t="s">
        <v>24</v>
      </c>
      <c r="F387">
        <v>29</v>
      </c>
      <c r="G387" t="s">
        <v>137</v>
      </c>
      <c r="H387" t="s">
        <v>137</v>
      </c>
      <c r="I387" t="s">
        <v>79</v>
      </c>
      <c r="J387" t="s">
        <v>114</v>
      </c>
      <c r="K387">
        <v>2</v>
      </c>
      <c r="L387">
        <v>2500</v>
      </c>
      <c r="M387">
        <v>5000</v>
      </c>
      <c r="N387" t="str">
        <f t="shared" ref="N387:N450" si="12">TEXT(B387,"mmm")</f>
        <v>Mar</v>
      </c>
      <c r="O387" t="str">
        <f t="shared" si="11"/>
        <v>25-34</v>
      </c>
    </row>
    <row r="388" spans="1:15" x14ac:dyDescent="0.25">
      <c r="A388" t="s">
        <v>558</v>
      </c>
      <c r="B388" s="2">
        <v>45762</v>
      </c>
      <c r="C388" t="s">
        <v>96</v>
      </c>
      <c r="D388" t="s">
        <v>78</v>
      </c>
      <c r="E388" t="s">
        <v>16</v>
      </c>
      <c r="F388">
        <v>20</v>
      </c>
      <c r="G388" t="s">
        <v>63</v>
      </c>
      <c r="H388" t="s">
        <v>64</v>
      </c>
      <c r="I388" t="s">
        <v>79</v>
      </c>
      <c r="J388" t="s">
        <v>208</v>
      </c>
      <c r="K388">
        <v>1</v>
      </c>
      <c r="L388">
        <v>3000</v>
      </c>
      <c r="M388">
        <v>3000</v>
      </c>
      <c r="N388" t="str">
        <f t="shared" si="12"/>
        <v>Apr</v>
      </c>
      <c r="O388" t="str">
        <f t="shared" ref="O388:O451" si="13">IF(F388&lt;25,"18-24",IF(F388&lt;35,"25-34",IF(F388&lt;45,"35-44","45+")))</f>
        <v>18-24</v>
      </c>
    </row>
    <row r="389" spans="1:15" x14ac:dyDescent="0.25">
      <c r="A389" t="s">
        <v>559</v>
      </c>
      <c r="B389" s="2">
        <v>45772</v>
      </c>
      <c r="C389" t="s">
        <v>42</v>
      </c>
      <c r="D389" t="s">
        <v>152</v>
      </c>
      <c r="E389" t="s">
        <v>16</v>
      </c>
      <c r="F389">
        <v>38</v>
      </c>
      <c r="G389" t="s">
        <v>48</v>
      </c>
      <c r="H389" t="s">
        <v>49</v>
      </c>
      <c r="I389" t="s">
        <v>19</v>
      </c>
      <c r="J389" t="s">
        <v>20</v>
      </c>
      <c r="K389">
        <v>4</v>
      </c>
      <c r="L389">
        <v>5000</v>
      </c>
      <c r="M389">
        <v>20000</v>
      </c>
      <c r="N389" t="str">
        <f t="shared" si="12"/>
        <v>Apr</v>
      </c>
      <c r="O389" t="str">
        <f t="shared" si="13"/>
        <v>35-44</v>
      </c>
    </row>
    <row r="390" spans="1:15" x14ac:dyDescent="0.25">
      <c r="A390" t="s">
        <v>560</v>
      </c>
      <c r="B390" s="2">
        <v>45780</v>
      </c>
      <c r="C390" t="s">
        <v>92</v>
      </c>
      <c r="D390" t="s">
        <v>29</v>
      </c>
      <c r="E390" t="s">
        <v>24</v>
      </c>
      <c r="F390">
        <v>32</v>
      </c>
      <c r="G390" t="s">
        <v>38</v>
      </c>
      <c r="H390" t="s">
        <v>26</v>
      </c>
      <c r="I390" t="s">
        <v>39</v>
      </c>
      <c r="J390" t="s">
        <v>94</v>
      </c>
      <c r="K390">
        <v>4</v>
      </c>
      <c r="L390">
        <v>600</v>
      </c>
      <c r="M390">
        <v>2400</v>
      </c>
      <c r="N390" t="str">
        <f t="shared" si="12"/>
        <v>May</v>
      </c>
      <c r="O390" t="str">
        <f t="shared" si="13"/>
        <v>25-34</v>
      </c>
    </row>
    <row r="391" spans="1:15" x14ac:dyDescent="0.25">
      <c r="A391" t="s">
        <v>561</v>
      </c>
      <c r="B391" s="2">
        <v>45858</v>
      </c>
      <c r="C391" t="s">
        <v>271</v>
      </c>
      <c r="D391" t="s">
        <v>118</v>
      </c>
      <c r="E391" t="s">
        <v>16</v>
      </c>
      <c r="F391">
        <v>36</v>
      </c>
      <c r="G391" t="s">
        <v>17</v>
      </c>
      <c r="H391" t="s">
        <v>18</v>
      </c>
      <c r="I391" t="s">
        <v>39</v>
      </c>
      <c r="J391" t="s">
        <v>40</v>
      </c>
      <c r="K391">
        <v>3</v>
      </c>
      <c r="L391">
        <v>350</v>
      </c>
      <c r="M391">
        <v>1050</v>
      </c>
      <c r="N391" t="str">
        <f t="shared" si="12"/>
        <v>Jul</v>
      </c>
      <c r="O391" t="str">
        <f t="shared" si="13"/>
        <v>35-44</v>
      </c>
    </row>
    <row r="392" spans="1:15" x14ac:dyDescent="0.25">
      <c r="A392" t="s">
        <v>562</v>
      </c>
      <c r="B392" s="2">
        <v>45805</v>
      </c>
      <c r="C392" t="s">
        <v>82</v>
      </c>
      <c r="D392" t="s">
        <v>59</v>
      </c>
      <c r="E392" t="s">
        <v>24</v>
      </c>
      <c r="F392">
        <v>31</v>
      </c>
      <c r="G392" t="s">
        <v>63</v>
      </c>
      <c r="H392" t="s">
        <v>64</v>
      </c>
      <c r="I392" t="s">
        <v>30</v>
      </c>
      <c r="J392" t="s">
        <v>35</v>
      </c>
      <c r="K392">
        <v>3</v>
      </c>
      <c r="L392">
        <v>700</v>
      </c>
      <c r="M392">
        <v>2100</v>
      </c>
      <c r="N392" t="str">
        <f t="shared" si="12"/>
        <v>May</v>
      </c>
      <c r="O392" t="str">
        <f t="shared" si="13"/>
        <v>25-34</v>
      </c>
    </row>
    <row r="393" spans="1:15" x14ac:dyDescent="0.25">
      <c r="A393" t="s">
        <v>563</v>
      </c>
      <c r="B393" s="2">
        <v>45779</v>
      </c>
      <c r="C393" t="s">
        <v>383</v>
      </c>
      <c r="D393" t="s">
        <v>59</v>
      </c>
      <c r="E393" t="s">
        <v>24</v>
      </c>
      <c r="F393">
        <v>45</v>
      </c>
      <c r="G393" t="s">
        <v>38</v>
      </c>
      <c r="H393" t="s">
        <v>26</v>
      </c>
      <c r="I393" t="s">
        <v>79</v>
      </c>
      <c r="J393" t="s">
        <v>188</v>
      </c>
      <c r="K393">
        <v>5</v>
      </c>
      <c r="L393">
        <v>1800</v>
      </c>
      <c r="M393">
        <v>9000</v>
      </c>
      <c r="N393" t="str">
        <f t="shared" si="12"/>
        <v>May</v>
      </c>
      <c r="O393" t="str">
        <f t="shared" si="13"/>
        <v>45+</v>
      </c>
    </row>
    <row r="394" spans="1:15" x14ac:dyDescent="0.25">
      <c r="A394" t="s">
        <v>564</v>
      </c>
      <c r="B394" s="2">
        <v>45836</v>
      </c>
      <c r="C394" t="s">
        <v>145</v>
      </c>
      <c r="D394" t="s">
        <v>106</v>
      </c>
      <c r="E394" t="s">
        <v>24</v>
      </c>
      <c r="F394">
        <v>49</v>
      </c>
      <c r="G394" t="s">
        <v>25</v>
      </c>
      <c r="H394" t="s">
        <v>26</v>
      </c>
      <c r="I394" t="s">
        <v>79</v>
      </c>
      <c r="J394" t="s">
        <v>80</v>
      </c>
      <c r="K394">
        <v>4</v>
      </c>
      <c r="L394">
        <v>600</v>
      </c>
      <c r="M394">
        <v>2400</v>
      </c>
      <c r="N394" t="str">
        <f t="shared" si="12"/>
        <v>Jun</v>
      </c>
      <c r="O394" t="str">
        <f t="shared" si="13"/>
        <v>45+</v>
      </c>
    </row>
    <row r="395" spans="1:15" x14ac:dyDescent="0.25">
      <c r="A395" t="s">
        <v>565</v>
      </c>
      <c r="B395" s="2">
        <v>45928</v>
      </c>
      <c r="C395" t="s">
        <v>73</v>
      </c>
      <c r="D395" t="s">
        <v>56</v>
      </c>
      <c r="E395" t="s">
        <v>16</v>
      </c>
      <c r="F395">
        <v>43</v>
      </c>
      <c r="G395" t="s">
        <v>34</v>
      </c>
      <c r="H395" t="s">
        <v>18</v>
      </c>
      <c r="I395" t="s">
        <v>39</v>
      </c>
      <c r="J395" t="s">
        <v>40</v>
      </c>
      <c r="K395">
        <v>4</v>
      </c>
      <c r="L395">
        <v>350</v>
      </c>
      <c r="M395">
        <v>1400</v>
      </c>
      <c r="N395" t="str">
        <f t="shared" si="12"/>
        <v>Sep</v>
      </c>
      <c r="O395" t="str">
        <f t="shared" si="13"/>
        <v>35-44</v>
      </c>
    </row>
    <row r="396" spans="1:15" x14ac:dyDescent="0.25">
      <c r="A396" t="s">
        <v>566</v>
      </c>
      <c r="B396" s="2">
        <v>45957</v>
      </c>
      <c r="C396" t="s">
        <v>257</v>
      </c>
      <c r="D396" t="s">
        <v>118</v>
      </c>
      <c r="E396" t="s">
        <v>16</v>
      </c>
      <c r="F396">
        <v>26</v>
      </c>
      <c r="G396" t="s">
        <v>70</v>
      </c>
      <c r="H396" t="s">
        <v>18</v>
      </c>
      <c r="I396" t="s">
        <v>30</v>
      </c>
      <c r="J396" t="s">
        <v>35</v>
      </c>
      <c r="K396">
        <v>4</v>
      </c>
      <c r="L396">
        <v>700</v>
      </c>
      <c r="M396">
        <v>2800</v>
      </c>
      <c r="N396" t="str">
        <f t="shared" si="12"/>
        <v>Oct</v>
      </c>
      <c r="O396" t="str">
        <f t="shared" si="13"/>
        <v>25-34</v>
      </c>
    </row>
    <row r="397" spans="1:15" x14ac:dyDescent="0.25">
      <c r="A397" t="s">
        <v>567</v>
      </c>
      <c r="B397" s="2">
        <v>45720</v>
      </c>
      <c r="C397" t="s">
        <v>224</v>
      </c>
      <c r="D397" t="s">
        <v>93</v>
      </c>
      <c r="E397" t="s">
        <v>24</v>
      </c>
      <c r="F397">
        <v>41</v>
      </c>
      <c r="G397" t="s">
        <v>137</v>
      </c>
      <c r="H397" t="s">
        <v>137</v>
      </c>
      <c r="I397" t="s">
        <v>19</v>
      </c>
      <c r="J397" t="s">
        <v>85</v>
      </c>
      <c r="K397">
        <v>3</v>
      </c>
      <c r="L397">
        <v>800</v>
      </c>
      <c r="M397">
        <v>2400</v>
      </c>
      <c r="N397" t="str">
        <f t="shared" si="12"/>
        <v>Mar</v>
      </c>
      <c r="O397" t="str">
        <f t="shared" si="13"/>
        <v>35-44</v>
      </c>
    </row>
    <row r="398" spans="1:15" x14ac:dyDescent="0.25">
      <c r="A398" t="s">
        <v>568</v>
      </c>
      <c r="B398" s="2">
        <v>45946</v>
      </c>
      <c r="C398" t="s">
        <v>371</v>
      </c>
      <c r="D398" t="s">
        <v>78</v>
      </c>
      <c r="E398" t="s">
        <v>16</v>
      </c>
      <c r="F398">
        <v>54</v>
      </c>
      <c r="G398" t="s">
        <v>43</v>
      </c>
      <c r="H398" t="s">
        <v>44</v>
      </c>
      <c r="I398" t="s">
        <v>79</v>
      </c>
      <c r="J398" t="s">
        <v>208</v>
      </c>
      <c r="K398">
        <v>4</v>
      </c>
      <c r="L398">
        <v>3000</v>
      </c>
      <c r="M398">
        <v>12000</v>
      </c>
      <c r="N398" t="str">
        <f t="shared" si="12"/>
        <v>Oct</v>
      </c>
      <c r="O398" t="str">
        <f t="shared" si="13"/>
        <v>45+</v>
      </c>
    </row>
    <row r="399" spans="1:15" x14ac:dyDescent="0.25">
      <c r="A399" t="s">
        <v>569</v>
      </c>
      <c r="B399" s="2">
        <v>45786</v>
      </c>
      <c r="C399" t="s">
        <v>33</v>
      </c>
      <c r="D399" t="s">
        <v>93</v>
      </c>
      <c r="E399" t="s">
        <v>24</v>
      </c>
      <c r="F399">
        <v>37</v>
      </c>
      <c r="G399" t="s">
        <v>38</v>
      </c>
      <c r="H399" t="s">
        <v>26</v>
      </c>
      <c r="I399" t="s">
        <v>79</v>
      </c>
      <c r="J399" t="s">
        <v>208</v>
      </c>
      <c r="K399">
        <v>3</v>
      </c>
      <c r="L399">
        <v>3000</v>
      </c>
      <c r="M399">
        <v>9000</v>
      </c>
      <c r="N399" t="str">
        <f t="shared" si="12"/>
        <v>May</v>
      </c>
      <c r="O399" t="str">
        <f t="shared" si="13"/>
        <v>35-44</v>
      </c>
    </row>
    <row r="400" spans="1:15" x14ac:dyDescent="0.25">
      <c r="A400" t="s">
        <v>570</v>
      </c>
      <c r="B400" s="2">
        <v>45949</v>
      </c>
      <c r="C400" t="s">
        <v>264</v>
      </c>
      <c r="D400" t="s">
        <v>56</v>
      </c>
      <c r="E400" t="s">
        <v>16</v>
      </c>
      <c r="F400">
        <v>48</v>
      </c>
      <c r="G400" t="s">
        <v>48</v>
      </c>
      <c r="H400" t="s">
        <v>49</v>
      </c>
      <c r="I400" t="s">
        <v>19</v>
      </c>
      <c r="J400" t="s">
        <v>20</v>
      </c>
      <c r="K400">
        <v>1</v>
      </c>
      <c r="L400">
        <v>5000</v>
      </c>
      <c r="M400">
        <v>5000</v>
      </c>
      <c r="N400" t="str">
        <f t="shared" si="12"/>
        <v>Oct</v>
      </c>
      <c r="O400" t="str">
        <f t="shared" si="13"/>
        <v>45+</v>
      </c>
    </row>
    <row r="401" spans="1:15" x14ac:dyDescent="0.25">
      <c r="A401" t="s">
        <v>571</v>
      </c>
      <c r="B401" s="2">
        <v>45957</v>
      </c>
      <c r="C401" t="s">
        <v>110</v>
      </c>
      <c r="D401" t="s">
        <v>69</v>
      </c>
      <c r="E401" t="s">
        <v>24</v>
      </c>
      <c r="F401">
        <v>22</v>
      </c>
      <c r="G401" t="s">
        <v>17</v>
      </c>
      <c r="H401" t="s">
        <v>18</v>
      </c>
      <c r="I401" t="s">
        <v>79</v>
      </c>
      <c r="J401" t="s">
        <v>80</v>
      </c>
      <c r="K401">
        <v>2</v>
      </c>
      <c r="L401">
        <v>600</v>
      </c>
      <c r="M401">
        <v>1200</v>
      </c>
      <c r="N401" t="str">
        <f t="shared" si="12"/>
        <v>Oct</v>
      </c>
      <c r="O401" t="str">
        <f t="shared" si="13"/>
        <v>18-24</v>
      </c>
    </row>
    <row r="402" spans="1:15" x14ac:dyDescent="0.25">
      <c r="A402" t="s">
        <v>572</v>
      </c>
      <c r="B402" s="2">
        <v>45913</v>
      </c>
      <c r="C402" t="s">
        <v>273</v>
      </c>
      <c r="D402" t="s">
        <v>90</v>
      </c>
      <c r="E402" t="s">
        <v>24</v>
      </c>
      <c r="F402">
        <v>38</v>
      </c>
      <c r="G402" t="s">
        <v>70</v>
      </c>
      <c r="H402" t="s">
        <v>18</v>
      </c>
      <c r="I402" t="s">
        <v>39</v>
      </c>
      <c r="J402" t="s">
        <v>40</v>
      </c>
      <c r="K402">
        <v>1</v>
      </c>
      <c r="L402">
        <v>350</v>
      </c>
      <c r="M402">
        <v>350</v>
      </c>
      <c r="N402" t="str">
        <f t="shared" si="12"/>
        <v>Sep</v>
      </c>
      <c r="O402" t="str">
        <f t="shared" si="13"/>
        <v>35-44</v>
      </c>
    </row>
    <row r="403" spans="1:15" x14ac:dyDescent="0.25">
      <c r="A403" t="s">
        <v>573</v>
      </c>
      <c r="B403" s="2">
        <v>45713</v>
      </c>
      <c r="C403" t="s">
        <v>425</v>
      </c>
      <c r="D403" t="s">
        <v>74</v>
      </c>
      <c r="E403" t="s">
        <v>16</v>
      </c>
      <c r="F403">
        <v>24</v>
      </c>
      <c r="G403" t="s">
        <v>43</v>
      </c>
      <c r="H403" t="s">
        <v>44</v>
      </c>
      <c r="I403" t="s">
        <v>65</v>
      </c>
      <c r="J403" t="s">
        <v>66</v>
      </c>
      <c r="K403">
        <v>3</v>
      </c>
      <c r="L403">
        <v>500</v>
      </c>
      <c r="M403">
        <v>1500</v>
      </c>
      <c r="N403" t="str">
        <f t="shared" si="12"/>
        <v>Feb</v>
      </c>
      <c r="O403" t="str">
        <f t="shared" si="13"/>
        <v>18-24</v>
      </c>
    </row>
    <row r="404" spans="1:15" x14ac:dyDescent="0.25">
      <c r="A404" t="s">
        <v>574</v>
      </c>
      <c r="B404" s="2">
        <v>45728</v>
      </c>
      <c r="C404" t="s">
        <v>398</v>
      </c>
      <c r="D404" t="s">
        <v>59</v>
      </c>
      <c r="E404" t="s">
        <v>24</v>
      </c>
      <c r="F404">
        <v>31</v>
      </c>
      <c r="G404" t="s">
        <v>34</v>
      </c>
      <c r="H404" t="s">
        <v>18</v>
      </c>
      <c r="I404" t="s">
        <v>19</v>
      </c>
      <c r="J404" t="s">
        <v>85</v>
      </c>
      <c r="K404">
        <v>3</v>
      </c>
      <c r="L404">
        <v>800</v>
      </c>
      <c r="M404">
        <v>2400</v>
      </c>
      <c r="N404" t="str">
        <f t="shared" si="12"/>
        <v>Mar</v>
      </c>
      <c r="O404" t="str">
        <f t="shared" si="13"/>
        <v>25-34</v>
      </c>
    </row>
    <row r="405" spans="1:15" x14ac:dyDescent="0.25">
      <c r="A405" t="s">
        <v>575</v>
      </c>
      <c r="B405" s="2">
        <v>45810</v>
      </c>
      <c r="C405" t="s">
        <v>89</v>
      </c>
      <c r="D405" t="s">
        <v>23</v>
      </c>
      <c r="E405" t="s">
        <v>24</v>
      </c>
      <c r="F405">
        <v>24</v>
      </c>
      <c r="G405" t="s">
        <v>70</v>
      </c>
      <c r="H405" t="s">
        <v>18</v>
      </c>
      <c r="I405" t="s">
        <v>30</v>
      </c>
      <c r="J405" t="s">
        <v>175</v>
      </c>
      <c r="K405">
        <v>4</v>
      </c>
      <c r="L405">
        <v>1800</v>
      </c>
      <c r="M405">
        <v>7200</v>
      </c>
      <c r="N405" t="str">
        <f t="shared" si="12"/>
        <v>Jun</v>
      </c>
      <c r="O405" t="str">
        <f t="shared" si="13"/>
        <v>18-24</v>
      </c>
    </row>
    <row r="406" spans="1:15" x14ac:dyDescent="0.25">
      <c r="A406" t="s">
        <v>576</v>
      </c>
      <c r="B406" s="2">
        <v>45754</v>
      </c>
      <c r="C406" t="s">
        <v>455</v>
      </c>
      <c r="D406" t="s">
        <v>118</v>
      </c>
      <c r="E406" t="s">
        <v>16</v>
      </c>
      <c r="F406">
        <v>55</v>
      </c>
      <c r="G406" t="s">
        <v>38</v>
      </c>
      <c r="H406" t="s">
        <v>26</v>
      </c>
      <c r="I406" t="s">
        <v>39</v>
      </c>
      <c r="J406" t="s">
        <v>40</v>
      </c>
      <c r="K406">
        <v>5</v>
      </c>
      <c r="L406">
        <v>350</v>
      </c>
      <c r="M406">
        <v>1750</v>
      </c>
      <c r="N406" t="str">
        <f t="shared" si="12"/>
        <v>Apr</v>
      </c>
      <c r="O406" t="str">
        <f t="shared" si="13"/>
        <v>45+</v>
      </c>
    </row>
    <row r="407" spans="1:15" x14ac:dyDescent="0.25">
      <c r="A407" t="s">
        <v>577</v>
      </c>
      <c r="B407" s="2">
        <v>45704</v>
      </c>
      <c r="C407" t="s">
        <v>160</v>
      </c>
      <c r="D407" t="s">
        <v>23</v>
      </c>
      <c r="E407" t="s">
        <v>24</v>
      </c>
      <c r="F407">
        <v>55</v>
      </c>
      <c r="G407" t="s">
        <v>75</v>
      </c>
      <c r="H407" t="s">
        <v>49</v>
      </c>
      <c r="I407" t="s">
        <v>65</v>
      </c>
      <c r="J407" t="s">
        <v>121</v>
      </c>
      <c r="K407">
        <v>4</v>
      </c>
      <c r="L407">
        <v>900</v>
      </c>
      <c r="M407">
        <v>3600</v>
      </c>
      <c r="N407" t="str">
        <f t="shared" si="12"/>
        <v>Feb</v>
      </c>
      <c r="O407" t="str">
        <f t="shared" si="13"/>
        <v>45+</v>
      </c>
    </row>
    <row r="408" spans="1:15" x14ac:dyDescent="0.25">
      <c r="A408" t="s">
        <v>578</v>
      </c>
      <c r="B408" s="2">
        <v>45930</v>
      </c>
      <c r="C408" t="s">
        <v>366</v>
      </c>
      <c r="D408" t="s">
        <v>113</v>
      </c>
      <c r="E408" t="s">
        <v>16</v>
      </c>
      <c r="F408">
        <v>28</v>
      </c>
      <c r="G408" t="s">
        <v>17</v>
      </c>
      <c r="H408" t="s">
        <v>18</v>
      </c>
      <c r="I408" t="s">
        <v>19</v>
      </c>
      <c r="J408" t="s">
        <v>85</v>
      </c>
      <c r="K408">
        <v>2</v>
      </c>
      <c r="L408">
        <v>800</v>
      </c>
      <c r="M408">
        <v>1600</v>
      </c>
      <c r="N408" t="str">
        <f t="shared" si="12"/>
        <v>Sep</v>
      </c>
      <c r="O408" t="str">
        <f t="shared" si="13"/>
        <v>25-34</v>
      </c>
    </row>
    <row r="409" spans="1:15" x14ac:dyDescent="0.25">
      <c r="A409" t="s">
        <v>579</v>
      </c>
      <c r="B409" s="2">
        <v>45709</v>
      </c>
      <c r="C409" t="s">
        <v>257</v>
      </c>
      <c r="D409" t="s">
        <v>69</v>
      </c>
      <c r="E409" t="s">
        <v>24</v>
      </c>
      <c r="F409">
        <v>35</v>
      </c>
      <c r="G409" t="s">
        <v>137</v>
      </c>
      <c r="H409" t="s">
        <v>137</v>
      </c>
      <c r="I409" t="s">
        <v>79</v>
      </c>
      <c r="J409" t="s">
        <v>114</v>
      </c>
      <c r="K409">
        <v>3</v>
      </c>
      <c r="L409">
        <v>2500</v>
      </c>
      <c r="M409">
        <v>7500</v>
      </c>
      <c r="N409" t="str">
        <f t="shared" si="12"/>
        <v>Feb</v>
      </c>
      <c r="O409" t="str">
        <f t="shared" si="13"/>
        <v>35-44</v>
      </c>
    </row>
    <row r="410" spans="1:15" x14ac:dyDescent="0.25">
      <c r="A410" t="s">
        <v>580</v>
      </c>
      <c r="B410" s="2">
        <v>45745</v>
      </c>
      <c r="C410" t="s">
        <v>218</v>
      </c>
      <c r="D410" t="s">
        <v>83</v>
      </c>
      <c r="E410" t="s">
        <v>16</v>
      </c>
      <c r="F410">
        <v>22</v>
      </c>
      <c r="G410" t="s">
        <v>17</v>
      </c>
      <c r="H410" t="s">
        <v>18</v>
      </c>
      <c r="I410" t="s">
        <v>65</v>
      </c>
      <c r="J410" t="s">
        <v>121</v>
      </c>
      <c r="K410">
        <v>2</v>
      </c>
      <c r="L410">
        <v>900</v>
      </c>
      <c r="M410">
        <v>1800</v>
      </c>
      <c r="N410" t="str">
        <f t="shared" si="12"/>
        <v>Mar</v>
      </c>
      <c r="O410" t="str">
        <f t="shared" si="13"/>
        <v>18-24</v>
      </c>
    </row>
    <row r="411" spans="1:15" x14ac:dyDescent="0.25">
      <c r="A411" t="s">
        <v>581</v>
      </c>
      <c r="B411" s="2">
        <v>45796</v>
      </c>
      <c r="C411" t="s">
        <v>112</v>
      </c>
      <c r="D411" t="s">
        <v>78</v>
      </c>
      <c r="E411" t="s">
        <v>16</v>
      </c>
      <c r="F411">
        <v>22</v>
      </c>
      <c r="G411" t="s">
        <v>75</v>
      </c>
      <c r="H411" t="s">
        <v>49</v>
      </c>
      <c r="I411" t="s">
        <v>65</v>
      </c>
      <c r="J411" t="s">
        <v>146</v>
      </c>
      <c r="K411">
        <v>1</v>
      </c>
      <c r="L411">
        <v>300</v>
      </c>
      <c r="M411">
        <v>300</v>
      </c>
      <c r="N411" t="str">
        <f t="shared" si="12"/>
        <v>May</v>
      </c>
      <c r="O411" t="str">
        <f t="shared" si="13"/>
        <v>18-24</v>
      </c>
    </row>
    <row r="412" spans="1:15" x14ac:dyDescent="0.25">
      <c r="A412" t="s">
        <v>582</v>
      </c>
      <c r="B412" s="2">
        <v>45800</v>
      </c>
      <c r="C412" t="s">
        <v>383</v>
      </c>
      <c r="D412" t="s">
        <v>59</v>
      </c>
      <c r="E412" t="s">
        <v>24</v>
      </c>
      <c r="F412">
        <v>31</v>
      </c>
      <c r="G412" t="s">
        <v>48</v>
      </c>
      <c r="H412" t="s">
        <v>49</v>
      </c>
      <c r="I412" t="s">
        <v>30</v>
      </c>
      <c r="J412" t="s">
        <v>71</v>
      </c>
      <c r="K412">
        <v>5</v>
      </c>
      <c r="L412">
        <v>900</v>
      </c>
      <c r="M412">
        <v>4500</v>
      </c>
      <c r="N412" t="str">
        <f t="shared" si="12"/>
        <v>May</v>
      </c>
      <c r="O412" t="str">
        <f t="shared" si="13"/>
        <v>25-34</v>
      </c>
    </row>
    <row r="413" spans="1:15" x14ac:dyDescent="0.25">
      <c r="A413" t="s">
        <v>583</v>
      </c>
      <c r="B413" s="2">
        <v>45790</v>
      </c>
      <c r="C413" t="s">
        <v>308</v>
      </c>
      <c r="D413" t="s">
        <v>118</v>
      </c>
      <c r="E413" t="s">
        <v>16</v>
      </c>
      <c r="F413">
        <v>22</v>
      </c>
      <c r="G413" t="s">
        <v>38</v>
      </c>
      <c r="H413" t="s">
        <v>26</v>
      </c>
      <c r="I413" t="s">
        <v>19</v>
      </c>
      <c r="J413" t="s">
        <v>76</v>
      </c>
      <c r="K413">
        <v>4</v>
      </c>
      <c r="L413">
        <v>2500</v>
      </c>
      <c r="M413">
        <v>10000</v>
      </c>
      <c r="N413" t="str">
        <f t="shared" si="12"/>
        <v>May</v>
      </c>
      <c r="O413" t="str">
        <f t="shared" si="13"/>
        <v>18-24</v>
      </c>
    </row>
    <row r="414" spans="1:15" x14ac:dyDescent="0.25">
      <c r="A414" t="s">
        <v>584</v>
      </c>
      <c r="B414" s="2">
        <v>45740</v>
      </c>
      <c r="C414" t="s">
        <v>257</v>
      </c>
      <c r="D414" t="s">
        <v>152</v>
      </c>
      <c r="E414" t="s">
        <v>16</v>
      </c>
      <c r="F414">
        <v>19</v>
      </c>
      <c r="G414" t="s">
        <v>25</v>
      </c>
      <c r="H414" t="s">
        <v>26</v>
      </c>
      <c r="I414" t="s">
        <v>39</v>
      </c>
      <c r="J414" t="s">
        <v>53</v>
      </c>
      <c r="K414">
        <v>4</v>
      </c>
      <c r="L414">
        <v>800</v>
      </c>
      <c r="M414">
        <v>3200</v>
      </c>
      <c r="N414" t="str">
        <f t="shared" si="12"/>
        <v>Mar</v>
      </c>
      <c r="O414" t="str">
        <f t="shared" si="13"/>
        <v>18-24</v>
      </c>
    </row>
    <row r="415" spans="1:15" x14ac:dyDescent="0.25">
      <c r="A415" t="s">
        <v>585</v>
      </c>
      <c r="B415" s="2">
        <v>45971</v>
      </c>
      <c r="C415" t="s">
        <v>192</v>
      </c>
      <c r="D415" t="s">
        <v>113</v>
      </c>
      <c r="E415" t="s">
        <v>16</v>
      </c>
      <c r="F415">
        <v>54</v>
      </c>
      <c r="G415" t="s">
        <v>75</v>
      </c>
      <c r="H415" t="s">
        <v>49</v>
      </c>
      <c r="I415" t="s">
        <v>65</v>
      </c>
      <c r="J415" t="s">
        <v>125</v>
      </c>
      <c r="K415">
        <v>4</v>
      </c>
      <c r="L415">
        <v>700</v>
      </c>
      <c r="M415">
        <v>2800</v>
      </c>
      <c r="N415" t="str">
        <f t="shared" si="12"/>
        <v>Nov</v>
      </c>
      <c r="O415" t="str">
        <f t="shared" si="13"/>
        <v>45+</v>
      </c>
    </row>
    <row r="416" spans="1:15" x14ac:dyDescent="0.25">
      <c r="A416" t="s">
        <v>586</v>
      </c>
      <c r="B416" s="2">
        <v>45797</v>
      </c>
      <c r="C416" t="s">
        <v>311</v>
      </c>
      <c r="D416" t="s">
        <v>118</v>
      </c>
      <c r="E416" t="s">
        <v>16</v>
      </c>
      <c r="F416">
        <v>28</v>
      </c>
      <c r="G416" t="s">
        <v>17</v>
      </c>
      <c r="H416" t="s">
        <v>18</v>
      </c>
      <c r="I416" t="s">
        <v>79</v>
      </c>
      <c r="J416" t="s">
        <v>208</v>
      </c>
      <c r="K416">
        <v>3</v>
      </c>
      <c r="L416">
        <v>3000</v>
      </c>
      <c r="M416">
        <v>9000</v>
      </c>
      <c r="N416" t="str">
        <f t="shared" si="12"/>
        <v>May</v>
      </c>
      <c r="O416" t="str">
        <f t="shared" si="13"/>
        <v>25-34</v>
      </c>
    </row>
    <row r="417" spans="1:15" x14ac:dyDescent="0.25">
      <c r="A417" t="s">
        <v>587</v>
      </c>
      <c r="B417" s="2">
        <v>45984</v>
      </c>
      <c r="C417" t="s">
        <v>120</v>
      </c>
      <c r="D417" t="s">
        <v>113</v>
      </c>
      <c r="E417" t="s">
        <v>16</v>
      </c>
      <c r="F417">
        <v>25</v>
      </c>
      <c r="G417" t="s">
        <v>75</v>
      </c>
      <c r="H417" t="s">
        <v>49</v>
      </c>
      <c r="I417" t="s">
        <v>39</v>
      </c>
      <c r="J417" t="s">
        <v>53</v>
      </c>
      <c r="K417">
        <v>2</v>
      </c>
      <c r="L417">
        <v>800</v>
      </c>
      <c r="M417">
        <v>1600</v>
      </c>
      <c r="N417" t="str">
        <f t="shared" si="12"/>
        <v>Nov</v>
      </c>
      <c r="O417" t="str">
        <f t="shared" si="13"/>
        <v>25-34</v>
      </c>
    </row>
    <row r="418" spans="1:15" x14ac:dyDescent="0.25">
      <c r="A418" t="s">
        <v>588</v>
      </c>
      <c r="B418" s="2">
        <v>45773</v>
      </c>
      <c r="C418" t="s">
        <v>264</v>
      </c>
      <c r="D418" t="s">
        <v>78</v>
      </c>
      <c r="E418" t="s">
        <v>16</v>
      </c>
      <c r="F418">
        <v>33</v>
      </c>
      <c r="G418" t="s">
        <v>25</v>
      </c>
      <c r="H418" t="s">
        <v>26</v>
      </c>
      <c r="I418" t="s">
        <v>30</v>
      </c>
      <c r="J418" t="s">
        <v>35</v>
      </c>
      <c r="K418">
        <v>3</v>
      </c>
      <c r="L418">
        <v>700</v>
      </c>
      <c r="M418">
        <v>2100</v>
      </c>
      <c r="N418" t="str">
        <f t="shared" si="12"/>
        <v>Apr</v>
      </c>
      <c r="O418" t="str">
        <f t="shared" si="13"/>
        <v>25-34</v>
      </c>
    </row>
    <row r="419" spans="1:15" x14ac:dyDescent="0.25">
      <c r="A419" t="s">
        <v>589</v>
      </c>
      <c r="B419" s="2">
        <v>45832</v>
      </c>
      <c r="C419" t="s">
        <v>324</v>
      </c>
      <c r="D419" t="s">
        <v>23</v>
      </c>
      <c r="E419" t="s">
        <v>24</v>
      </c>
      <c r="F419">
        <v>52</v>
      </c>
      <c r="G419" t="s">
        <v>17</v>
      </c>
      <c r="H419" t="s">
        <v>18</v>
      </c>
      <c r="I419" t="s">
        <v>65</v>
      </c>
      <c r="J419" t="s">
        <v>125</v>
      </c>
      <c r="K419">
        <v>3</v>
      </c>
      <c r="L419">
        <v>700</v>
      </c>
      <c r="M419">
        <v>2100</v>
      </c>
      <c r="N419" t="str">
        <f t="shared" si="12"/>
        <v>Jun</v>
      </c>
      <c r="O419" t="str">
        <f t="shared" si="13"/>
        <v>45+</v>
      </c>
    </row>
    <row r="420" spans="1:15" x14ac:dyDescent="0.25">
      <c r="A420" t="s">
        <v>590</v>
      </c>
      <c r="B420" s="2">
        <v>45941</v>
      </c>
      <c r="C420" t="s">
        <v>207</v>
      </c>
      <c r="D420" t="s">
        <v>97</v>
      </c>
      <c r="E420" t="s">
        <v>24</v>
      </c>
      <c r="F420">
        <v>54</v>
      </c>
      <c r="G420" t="s">
        <v>48</v>
      </c>
      <c r="H420" t="s">
        <v>49</v>
      </c>
      <c r="I420" t="s">
        <v>79</v>
      </c>
      <c r="J420" t="s">
        <v>114</v>
      </c>
      <c r="K420">
        <v>1</v>
      </c>
      <c r="L420">
        <v>2500</v>
      </c>
      <c r="M420">
        <v>2500</v>
      </c>
      <c r="N420" t="str">
        <f t="shared" si="12"/>
        <v>Oct</v>
      </c>
      <c r="O420" t="str">
        <f t="shared" si="13"/>
        <v>45+</v>
      </c>
    </row>
    <row r="421" spans="1:15" x14ac:dyDescent="0.25">
      <c r="A421" t="s">
        <v>591</v>
      </c>
      <c r="B421" s="2">
        <v>45758</v>
      </c>
      <c r="C421" t="s">
        <v>170</v>
      </c>
      <c r="D421" t="s">
        <v>52</v>
      </c>
      <c r="E421" t="s">
        <v>24</v>
      </c>
      <c r="F421">
        <v>24</v>
      </c>
      <c r="G421" t="s">
        <v>34</v>
      </c>
      <c r="H421" t="s">
        <v>18</v>
      </c>
      <c r="I421" t="s">
        <v>39</v>
      </c>
      <c r="J421" t="s">
        <v>94</v>
      </c>
      <c r="K421">
        <v>3</v>
      </c>
      <c r="L421">
        <v>600</v>
      </c>
      <c r="M421">
        <v>1800</v>
      </c>
      <c r="N421" t="str">
        <f t="shared" si="12"/>
        <v>Apr</v>
      </c>
      <c r="O421" t="str">
        <f t="shared" si="13"/>
        <v>18-24</v>
      </c>
    </row>
    <row r="422" spans="1:15" x14ac:dyDescent="0.25">
      <c r="A422" t="s">
        <v>592</v>
      </c>
      <c r="B422" s="2">
        <v>45855</v>
      </c>
      <c r="C422" t="s">
        <v>257</v>
      </c>
      <c r="D422" t="s">
        <v>56</v>
      </c>
      <c r="E422" t="s">
        <v>16</v>
      </c>
      <c r="F422">
        <v>38</v>
      </c>
      <c r="G422" t="s">
        <v>70</v>
      </c>
      <c r="H422" t="s">
        <v>18</v>
      </c>
      <c r="I422" t="s">
        <v>39</v>
      </c>
      <c r="J422" t="s">
        <v>60</v>
      </c>
      <c r="K422">
        <v>4</v>
      </c>
      <c r="L422">
        <v>1500</v>
      </c>
      <c r="M422">
        <v>6000</v>
      </c>
      <c r="N422" t="str">
        <f t="shared" si="12"/>
        <v>Jul</v>
      </c>
      <c r="O422" t="str">
        <f t="shared" si="13"/>
        <v>35-44</v>
      </c>
    </row>
    <row r="423" spans="1:15" x14ac:dyDescent="0.25">
      <c r="A423" t="s">
        <v>593</v>
      </c>
      <c r="B423" s="2">
        <v>46008</v>
      </c>
      <c r="C423" t="s">
        <v>160</v>
      </c>
      <c r="D423" t="s">
        <v>59</v>
      </c>
      <c r="E423" t="s">
        <v>24</v>
      </c>
      <c r="F423">
        <v>19</v>
      </c>
      <c r="G423" t="s">
        <v>63</v>
      </c>
      <c r="H423" t="s">
        <v>64</v>
      </c>
      <c r="I423" t="s">
        <v>39</v>
      </c>
      <c r="J423" t="s">
        <v>53</v>
      </c>
      <c r="K423">
        <v>4</v>
      </c>
      <c r="L423">
        <v>800</v>
      </c>
      <c r="M423">
        <v>3200</v>
      </c>
      <c r="N423" t="str">
        <f t="shared" si="12"/>
        <v>Dec</v>
      </c>
      <c r="O423" t="str">
        <f t="shared" si="13"/>
        <v>18-24</v>
      </c>
    </row>
    <row r="424" spans="1:15" x14ac:dyDescent="0.25">
      <c r="A424" t="s">
        <v>594</v>
      </c>
      <c r="B424" s="2">
        <v>45689</v>
      </c>
      <c r="C424" t="s">
        <v>73</v>
      </c>
      <c r="D424" t="s">
        <v>74</v>
      </c>
      <c r="E424" t="s">
        <v>16</v>
      </c>
      <c r="F424">
        <v>31</v>
      </c>
      <c r="G424" t="s">
        <v>17</v>
      </c>
      <c r="H424" t="s">
        <v>18</v>
      </c>
      <c r="I424" t="s">
        <v>65</v>
      </c>
      <c r="J424" t="s">
        <v>125</v>
      </c>
      <c r="K424">
        <v>5</v>
      </c>
      <c r="L424">
        <v>700</v>
      </c>
      <c r="M424">
        <v>3500</v>
      </c>
      <c r="N424" t="str">
        <f t="shared" si="12"/>
        <v>Feb</v>
      </c>
      <c r="O424" t="str">
        <f t="shared" si="13"/>
        <v>25-34</v>
      </c>
    </row>
    <row r="425" spans="1:15" x14ac:dyDescent="0.25">
      <c r="A425" t="s">
        <v>595</v>
      </c>
      <c r="B425" s="2">
        <v>45683</v>
      </c>
      <c r="C425" t="s">
        <v>455</v>
      </c>
      <c r="D425" t="s">
        <v>113</v>
      </c>
      <c r="E425" t="s">
        <v>16</v>
      </c>
      <c r="F425">
        <v>29</v>
      </c>
      <c r="G425" t="s">
        <v>17</v>
      </c>
      <c r="H425" t="s">
        <v>18</v>
      </c>
      <c r="I425" t="s">
        <v>39</v>
      </c>
      <c r="J425" t="s">
        <v>94</v>
      </c>
      <c r="K425">
        <v>1</v>
      </c>
      <c r="L425">
        <v>600</v>
      </c>
      <c r="M425">
        <v>600</v>
      </c>
      <c r="N425" t="str">
        <f t="shared" si="12"/>
        <v>Jan</v>
      </c>
      <c r="O425" t="str">
        <f t="shared" si="13"/>
        <v>25-34</v>
      </c>
    </row>
    <row r="426" spans="1:15" x14ac:dyDescent="0.25">
      <c r="A426" t="s">
        <v>596</v>
      </c>
      <c r="B426" s="2">
        <v>45927</v>
      </c>
      <c r="C426" t="s">
        <v>92</v>
      </c>
      <c r="D426" t="s">
        <v>93</v>
      </c>
      <c r="E426" t="s">
        <v>24</v>
      </c>
      <c r="F426">
        <v>55</v>
      </c>
      <c r="G426" t="s">
        <v>38</v>
      </c>
      <c r="H426" t="s">
        <v>26</v>
      </c>
      <c r="I426" t="s">
        <v>79</v>
      </c>
      <c r="J426" t="s">
        <v>114</v>
      </c>
      <c r="K426">
        <v>4</v>
      </c>
      <c r="L426">
        <v>2500</v>
      </c>
      <c r="M426">
        <v>10000</v>
      </c>
      <c r="N426" t="str">
        <f t="shared" si="12"/>
        <v>Sep</v>
      </c>
      <c r="O426" t="str">
        <f t="shared" si="13"/>
        <v>45+</v>
      </c>
    </row>
    <row r="427" spans="1:15" x14ac:dyDescent="0.25">
      <c r="A427" t="s">
        <v>597</v>
      </c>
      <c r="B427" s="2">
        <v>45921</v>
      </c>
      <c r="C427" t="s">
        <v>92</v>
      </c>
      <c r="D427" t="s">
        <v>56</v>
      </c>
      <c r="E427" t="s">
        <v>16</v>
      </c>
      <c r="F427">
        <v>30</v>
      </c>
      <c r="G427" t="s">
        <v>137</v>
      </c>
      <c r="H427" t="s">
        <v>137</v>
      </c>
      <c r="I427" t="s">
        <v>65</v>
      </c>
      <c r="J427" t="s">
        <v>146</v>
      </c>
      <c r="K427">
        <v>3</v>
      </c>
      <c r="L427">
        <v>300</v>
      </c>
      <c r="M427">
        <v>900</v>
      </c>
      <c r="N427" t="str">
        <f t="shared" si="12"/>
        <v>Sep</v>
      </c>
      <c r="O427" t="str">
        <f t="shared" si="13"/>
        <v>25-34</v>
      </c>
    </row>
    <row r="428" spans="1:15" x14ac:dyDescent="0.25">
      <c r="A428" t="s">
        <v>598</v>
      </c>
      <c r="B428" s="2">
        <v>45910</v>
      </c>
      <c r="C428" t="s">
        <v>22</v>
      </c>
      <c r="D428" t="s">
        <v>59</v>
      </c>
      <c r="E428" t="s">
        <v>24</v>
      </c>
      <c r="F428">
        <v>41</v>
      </c>
      <c r="G428" t="s">
        <v>25</v>
      </c>
      <c r="H428" t="s">
        <v>26</v>
      </c>
      <c r="I428" t="s">
        <v>39</v>
      </c>
      <c r="J428" t="s">
        <v>94</v>
      </c>
      <c r="K428">
        <v>3</v>
      </c>
      <c r="L428">
        <v>600</v>
      </c>
      <c r="M428">
        <v>1800</v>
      </c>
      <c r="N428" t="str">
        <f t="shared" si="12"/>
        <v>Sep</v>
      </c>
      <c r="O428" t="str">
        <f t="shared" si="13"/>
        <v>35-44</v>
      </c>
    </row>
    <row r="429" spans="1:15" x14ac:dyDescent="0.25">
      <c r="A429" t="s">
        <v>599</v>
      </c>
      <c r="B429" s="2">
        <v>45998</v>
      </c>
      <c r="C429" t="s">
        <v>230</v>
      </c>
      <c r="D429" t="s">
        <v>152</v>
      </c>
      <c r="E429" t="s">
        <v>16</v>
      </c>
      <c r="F429">
        <v>34</v>
      </c>
      <c r="G429" t="s">
        <v>63</v>
      </c>
      <c r="H429" t="s">
        <v>64</v>
      </c>
      <c r="I429" t="s">
        <v>30</v>
      </c>
      <c r="J429" t="s">
        <v>175</v>
      </c>
      <c r="K429">
        <v>5</v>
      </c>
      <c r="L429">
        <v>1800</v>
      </c>
      <c r="M429">
        <v>9000</v>
      </c>
      <c r="N429" t="str">
        <f t="shared" si="12"/>
        <v>Dec</v>
      </c>
      <c r="O429" t="str">
        <f t="shared" si="13"/>
        <v>25-34</v>
      </c>
    </row>
    <row r="430" spans="1:15" x14ac:dyDescent="0.25">
      <c r="A430" t="s">
        <v>600</v>
      </c>
      <c r="B430" s="2">
        <v>45790</v>
      </c>
      <c r="C430" t="s">
        <v>286</v>
      </c>
      <c r="D430" t="s">
        <v>69</v>
      </c>
      <c r="E430" t="s">
        <v>24</v>
      </c>
      <c r="F430">
        <v>18</v>
      </c>
      <c r="G430" t="s">
        <v>75</v>
      </c>
      <c r="H430" t="s">
        <v>49</v>
      </c>
      <c r="I430" t="s">
        <v>39</v>
      </c>
      <c r="J430" t="s">
        <v>53</v>
      </c>
      <c r="K430">
        <v>2</v>
      </c>
      <c r="L430">
        <v>800</v>
      </c>
      <c r="M430">
        <v>1600</v>
      </c>
      <c r="N430" t="str">
        <f t="shared" si="12"/>
        <v>May</v>
      </c>
      <c r="O430" t="str">
        <f t="shared" si="13"/>
        <v>18-24</v>
      </c>
    </row>
    <row r="431" spans="1:15" x14ac:dyDescent="0.25">
      <c r="A431" t="s">
        <v>601</v>
      </c>
      <c r="B431" s="2">
        <v>45968</v>
      </c>
      <c r="C431" t="s">
        <v>300</v>
      </c>
      <c r="D431" t="s">
        <v>23</v>
      </c>
      <c r="E431" t="s">
        <v>24</v>
      </c>
      <c r="F431">
        <v>52</v>
      </c>
      <c r="G431" t="s">
        <v>17</v>
      </c>
      <c r="H431" t="s">
        <v>18</v>
      </c>
      <c r="I431" t="s">
        <v>65</v>
      </c>
      <c r="J431" t="s">
        <v>125</v>
      </c>
      <c r="K431">
        <v>1</v>
      </c>
      <c r="L431">
        <v>700</v>
      </c>
      <c r="M431">
        <v>700</v>
      </c>
      <c r="N431" t="str">
        <f t="shared" si="12"/>
        <v>Nov</v>
      </c>
      <c r="O431" t="str">
        <f t="shared" si="13"/>
        <v>45+</v>
      </c>
    </row>
    <row r="432" spans="1:15" x14ac:dyDescent="0.25">
      <c r="A432" t="s">
        <v>602</v>
      </c>
      <c r="B432" s="2">
        <v>45718</v>
      </c>
      <c r="C432" t="s">
        <v>451</v>
      </c>
      <c r="D432" t="s">
        <v>113</v>
      </c>
      <c r="E432" t="s">
        <v>16</v>
      </c>
      <c r="F432">
        <v>53</v>
      </c>
      <c r="G432" t="s">
        <v>70</v>
      </c>
      <c r="H432" t="s">
        <v>18</v>
      </c>
      <c r="I432" t="s">
        <v>19</v>
      </c>
      <c r="J432" t="s">
        <v>45</v>
      </c>
      <c r="K432">
        <v>5</v>
      </c>
      <c r="L432">
        <v>1500</v>
      </c>
      <c r="M432">
        <v>7500</v>
      </c>
      <c r="N432" t="str">
        <f t="shared" si="12"/>
        <v>Mar</v>
      </c>
      <c r="O432" t="str">
        <f t="shared" si="13"/>
        <v>45+</v>
      </c>
    </row>
    <row r="433" spans="1:15" x14ac:dyDescent="0.25">
      <c r="A433" t="s">
        <v>603</v>
      </c>
      <c r="B433" s="2">
        <v>45695</v>
      </c>
      <c r="C433" t="s">
        <v>255</v>
      </c>
      <c r="D433" t="s">
        <v>93</v>
      </c>
      <c r="E433" t="s">
        <v>24</v>
      </c>
      <c r="F433">
        <v>36</v>
      </c>
      <c r="G433" t="s">
        <v>137</v>
      </c>
      <c r="H433" t="s">
        <v>137</v>
      </c>
      <c r="I433" t="s">
        <v>19</v>
      </c>
      <c r="J433" t="s">
        <v>76</v>
      </c>
      <c r="K433">
        <v>2</v>
      </c>
      <c r="L433">
        <v>2500</v>
      </c>
      <c r="M433">
        <v>5000</v>
      </c>
      <c r="N433" t="str">
        <f t="shared" si="12"/>
        <v>Feb</v>
      </c>
      <c r="O433" t="str">
        <f t="shared" si="13"/>
        <v>35-44</v>
      </c>
    </row>
    <row r="434" spans="1:15" x14ac:dyDescent="0.25">
      <c r="A434" t="s">
        <v>604</v>
      </c>
      <c r="B434" s="2">
        <v>45979</v>
      </c>
      <c r="C434" t="s">
        <v>141</v>
      </c>
      <c r="D434" t="s">
        <v>23</v>
      </c>
      <c r="E434" t="s">
        <v>24</v>
      </c>
      <c r="F434">
        <v>41</v>
      </c>
      <c r="G434" t="s">
        <v>63</v>
      </c>
      <c r="H434" t="s">
        <v>64</v>
      </c>
      <c r="I434" t="s">
        <v>19</v>
      </c>
      <c r="J434" t="s">
        <v>20</v>
      </c>
      <c r="K434">
        <v>5</v>
      </c>
      <c r="L434">
        <v>5000</v>
      </c>
      <c r="M434">
        <v>25000</v>
      </c>
      <c r="N434" t="str">
        <f t="shared" si="12"/>
        <v>Nov</v>
      </c>
      <c r="O434" t="str">
        <f t="shared" si="13"/>
        <v>35-44</v>
      </c>
    </row>
    <row r="435" spans="1:15" x14ac:dyDescent="0.25">
      <c r="A435" t="s">
        <v>605</v>
      </c>
      <c r="B435" s="2">
        <v>45818</v>
      </c>
      <c r="C435" t="s">
        <v>195</v>
      </c>
      <c r="D435" t="s">
        <v>59</v>
      </c>
      <c r="E435" t="s">
        <v>24</v>
      </c>
      <c r="F435">
        <v>50</v>
      </c>
      <c r="G435" t="s">
        <v>38</v>
      </c>
      <c r="H435" t="s">
        <v>26</v>
      </c>
      <c r="I435" t="s">
        <v>79</v>
      </c>
      <c r="J435" t="s">
        <v>80</v>
      </c>
      <c r="K435">
        <v>5</v>
      </c>
      <c r="L435">
        <v>600</v>
      </c>
      <c r="M435">
        <v>3000</v>
      </c>
      <c r="N435" t="str">
        <f t="shared" si="12"/>
        <v>Jun</v>
      </c>
      <c r="O435" t="str">
        <f t="shared" si="13"/>
        <v>45+</v>
      </c>
    </row>
    <row r="436" spans="1:15" x14ac:dyDescent="0.25">
      <c r="A436" t="s">
        <v>606</v>
      </c>
      <c r="B436" s="2">
        <v>45976</v>
      </c>
      <c r="C436" t="s">
        <v>103</v>
      </c>
      <c r="D436" t="s">
        <v>83</v>
      </c>
      <c r="E436" t="s">
        <v>16</v>
      </c>
      <c r="F436">
        <v>55</v>
      </c>
      <c r="G436" t="s">
        <v>63</v>
      </c>
      <c r="H436" t="s">
        <v>64</v>
      </c>
      <c r="I436" t="s">
        <v>30</v>
      </c>
      <c r="J436" t="s">
        <v>31</v>
      </c>
      <c r="K436">
        <v>2</v>
      </c>
      <c r="L436">
        <v>1200</v>
      </c>
      <c r="M436">
        <v>2400</v>
      </c>
      <c r="N436" t="str">
        <f t="shared" si="12"/>
        <v>Nov</v>
      </c>
      <c r="O436" t="str">
        <f t="shared" si="13"/>
        <v>45+</v>
      </c>
    </row>
    <row r="437" spans="1:15" x14ac:dyDescent="0.25">
      <c r="A437" t="s">
        <v>607</v>
      </c>
      <c r="B437" s="2">
        <v>45976</v>
      </c>
      <c r="C437" t="s">
        <v>156</v>
      </c>
      <c r="D437" t="s">
        <v>113</v>
      </c>
      <c r="E437" t="s">
        <v>16</v>
      </c>
      <c r="F437">
        <v>46</v>
      </c>
      <c r="G437" t="s">
        <v>48</v>
      </c>
      <c r="H437" t="s">
        <v>49</v>
      </c>
      <c r="I437" t="s">
        <v>30</v>
      </c>
      <c r="J437" t="s">
        <v>35</v>
      </c>
      <c r="K437">
        <v>2</v>
      </c>
      <c r="L437">
        <v>700</v>
      </c>
      <c r="M437">
        <v>1400</v>
      </c>
      <c r="N437" t="str">
        <f t="shared" si="12"/>
        <v>Nov</v>
      </c>
      <c r="O437" t="str">
        <f t="shared" si="13"/>
        <v>45+</v>
      </c>
    </row>
    <row r="438" spans="1:15" x14ac:dyDescent="0.25">
      <c r="A438" t="s">
        <v>608</v>
      </c>
      <c r="B438" s="2">
        <v>45956</v>
      </c>
      <c r="C438" t="s">
        <v>205</v>
      </c>
      <c r="D438" t="s">
        <v>74</v>
      </c>
      <c r="E438" t="s">
        <v>16</v>
      </c>
      <c r="F438">
        <v>49</v>
      </c>
      <c r="G438" t="s">
        <v>43</v>
      </c>
      <c r="H438" t="s">
        <v>44</v>
      </c>
      <c r="I438" t="s">
        <v>30</v>
      </c>
      <c r="J438" t="s">
        <v>71</v>
      </c>
      <c r="K438">
        <v>3</v>
      </c>
      <c r="L438">
        <v>900</v>
      </c>
      <c r="M438">
        <v>2700</v>
      </c>
      <c r="N438" t="str">
        <f t="shared" si="12"/>
        <v>Oct</v>
      </c>
      <c r="O438" t="str">
        <f t="shared" si="13"/>
        <v>45+</v>
      </c>
    </row>
    <row r="439" spans="1:15" x14ac:dyDescent="0.25">
      <c r="A439" t="s">
        <v>609</v>
      </c>
      <c r="B439" s="2">
        <v>45734</v>
      </c>
      <c r="C439" t="s">
        <v>110</v>
      </c>
      <c r="D439" t="s">
        <v>118</v>
      </c>
      <c r="E439" t="s">
        <v>16</v>
      </c>
      <c r="F439">
        <v>41</v>
      </c>
      <c r="G439" t="s">
        <v>48</v>
      </c>
      <c r="H439" t="s">
        <v>49</v>
      </c>
      <c r="I439" t="s">
        <v>79</v>
      </c>
      <c r="J439" t="s">
        <v>188</v>
      </c>
      <c r="K439">
        <v>4</v>
      </c>
      <c r="L439">
        <v>1800</v>
      </c>
      <c r="M439">
        <v>7200</v>
      </c>
      <c r="N439" t="str">
        <f t="shared" si="12"/>
        <v>Mar</v>
      </c>
      <c r="O439" t="str">
        <f t="shared" si="13"/>
        <v>35-44</v>
      </c>
    </row>
    <row r="440" spans="1:15" x14ac:dyDescent="0.25">
      <c r="A440" t="s">
        <v>610</v>
      </c>
      <c r="B440" s="2">
        <v>45865</v>
      </c>
      <c r="C440" t="s">
        <v>100</v>
      </c>
      <c r="D440" t="s">
        <v>101</v>
      </c>
      <c r="E440" t="s">
        <v>16</v>
      </c>
      <c r="F440">
        <v>22</v>
      </c>
      <c r="G440" t="s">
        <v>70</v>
      </c>
      <c r="H440" t="s">
        <v>18</v>
      </c>
      <c r="I440" t="s">
        <v>39</v>
      </c>
      <c r="J440" t="s">
        <v>60</v>
      </c>
      <c r="K440">
        <v>2</v>
      </c>
      <c r="L440">
        <v>1500</v>
      </c>
      <c r="M440">
        <v>3000</v>
      </c>
      <c r="N440" t="str">
        <f t="shared" si="12"/>
        <v>Jul</v>
      </c>
      <c r="O440" t="str">
        <f t="shared" si="13"/>
        <v>18-24</v>
      </c>
    </row>
    <row r="441" spans="1:15" x14ac:dyDescent="0.25">
      <c r="A441" t="s">
        <v>611</v>
      </c>
      <c r="B441" s="2">
        <v>45835</v>
      </c>
      <c r="C441" t="s">
        <v>286</v>
      </c>
      <c r="D441" t="s">
        <v>124</v>
      </c>
      <c r="E441" t="s">
        <v>24</v>
      </c>
      <c r="F441">
        <v>25</v>
      </c>
      <c r="G441" t="s">
        <v>17</v>
      </c>
      <c r="H441" t="s">
        <v>18</v>
      </c>
      <c r="I441" t="s">
        <v>39</v>
      </c>
      <c r="J441" t="s">
        <v>53</v>
      </c>
      <c r="K441">
        <v>1</v>
      </c>
      <c r="L441">
        <v>800</v>
      </c>
      <c r="M441">
        <v>800</v>
      </c>
      <c r="N441" t="str">
        <f t="shared" si="12"/>
        <v>Jun</v>
      </c>
      <c r="O441" t="str">
        <f t="shared" si="13"/>
        <v>25-34</v>
      </c>
    </row>
    <row r="442" spans="1:15" x14ac:dyDescent="0.25">
      <c r="A442" t="s">
        <v>612</v>
      </c>
      <c r="B442" s="2">
        <v>45970</v>
      </c>
      <c r="C442" t="s">
        <v>117</v>
      </c>
      <c r="D442" t="s">
        <v>59</v>
      </c>
      <c r="E442" t="s">
        <v>24</v>
      </c>
      <c r="F442">
        <v>55</v>
      </c>
      <c r="G442" t="s">
        <v>48</v>
      </c>
      <c r="H442" t="s">
        <v>49</v>
      </c>
      <c r="I442" t="s">
        <v>30</v>
      </c>
      <c r="J442" t="s">
        <v>71</v>
      </c>
      <c r="K442">
        <v>4</v>
      </c>
      <c r="L442">
        <v>900</v>
      </c>
      <c r="M442">
        <v>3600</v>
      </c>
      <c r="N442" t="str">
        <f t="shared" si="12"/>
        <v>Nov</v>
      </c>
      <c r="O442" t="str">
        <f t="shared" si="13"/>
        <v>45+</v>
      </c>
    </row>
    <row r="443" spans="1:15" x14ac:dyDescent="0.25">
      <c r="A443" t="s">
        <v>613</v>
      </c>
      <c r="B443" s="2">
        <v>45876</v>
      </c>
      <c r="C443" t="s">
        <v>451</v>
      </c>
      <c r="D443" t="s">
        <v>106</v>
      </c>
      <c r="E443" t="s">
        <v>24</v>
      </c>
      <c r="F443">
        <v>45</v>
      </c>
      <c r="G443" t="s">
        <v>63</v>
      </c>
      <c r="H443" t="s">
        <v>64</v>
      </c>
      <c r="I443" t="s">
        <v>65</v>
      </c>
      <c r="J443" t="s">
        <v>66</v>
      </c>
      <c r="K443">
        <v>5</v>
      </c>
      <c r="L443">
        <v>500</v>
      </c>
      <c r="M443">
        <v>2500</v>
      </c>
      <c r="N443" t="str">
        <f t="shared" si="12"/>
        <v>Aug</v>
      </c>
      <c r="O443" t="str">
        <f t="shared" si="13"/>
        <v>45+</v>
      </c>
    </row>
    <row r="444" spans="1:15" x14ac:dyDescent="0.25">
      <c r="A444" t="s">
        <v>614</v>
      </c>
      <c r="B444" s="2">
        <v>45978</v>
      </c>
      <c r="C444" t="s">
        <v>108</v>
      </c>
      <c r="D444" t="s">
        <v>124</v>
      </c>
      <c r="E444" t="s">
        <v>24</v>
      </c>
      <c r="F444">
        <v>21</v>
      </c>
      <c r="G444" t="s">
        <v>38</v>
      </c>
      <c r="H444" t="s">
        <v>26</v>
      </c>
      <c r="I444" t="s">
        <v>30</v>
      </c>
      <c r="J444" t="s">
        <v>71</v>
      </c>
      <c r="K444">
        <v>5</v>
      </c>
      <c r="L444">
        <v>900</v>
      </c>
      <c r="M444">
        <v>4500</v>
      </c>
      <c r="N444" t="str">
        <f t="shared" si="12"/>
        <v>Nov</v>
      </c>
      <c r="O444" t="str">
        <f t="shared" si="13"/>
        <v>18-24</v>
      </c>
    </row>
    <row r="445" spans="1:15" x14ac:dyDescent="0.25">
      <c r="A445" t="s">
        <v>615</v>
      </c>
      <c r="B445" s="2">
        <v>45830</v>
      </c>
      <c r="C445" t="s">
        <v>199</v>
      </c>
      <c r="D445" t="s">
        <v>59</v>
      </c>
      <c r="E445" t="s">
        <v>24</v>
      </c>
      <c r="F445">
        <v>27</v>
      </c>
      <c r="G445" t="s">
        <v>70</v>
      </c>
      <c r="H445" t="s">
        <v>18</v>
      </c>
      <c r="I445" t="s">
        <v>79</v>
      </c>
      <c r="J445" t="s">
        <v>208</v>
      </c>
      <c r="K445">
        <v>3</v>
      </c>
      <c r="L445">
        <v>3000</v>
      </c>
      <c r="M445">
        <v>9000</v>
      </c>
      <c r="N445" t="str">
        <f t="shared" si="12"/>
        <v>Jun</v>
      </c>
      <c r="O445" t="str">
        <f t="shared" si="13"/>
        <v>25-34</v>
      </c>
    </row>
    <row r="446" spans="1:15" x14ac:dyDescent="0.25">
      <c r="A446" t="s">
        <v>616</v>
      </c>
      <c r="B446" s="2">
        <v>45801</v>
      </c>
      <c r="C446" t="s">
        <v>319</v>
      </c>
      <c r="D446" t="s">
        <v>83</v>
      </c>
      <c r="E446" t="s">
        <v>16</v>
      </c>
      <c r="F446">
        <v>52</v>
      </c>
      <c r="G446" t="s">
        <v>63</v>
      </c>
      <c r="H446" t="s">
        <v>64</v>
      </c>
      <c r="I446" t="s">
        <v>39</v>
      </c>
      <c r="J446" t="s">
        <v>53</v>
      </c>
      <c r="K446">
        <v>3</v>
      </c>
      <c r="L446">
        <v>800</v>
      </c>
      <c r="M446">
        <v>2400</v>
      </c>
      <c r="N446" t="str">
        <f t="shared" si="12"/>
        <v>May</v>
      </c>
      <c r="O446" t="str">
        <f t="shared" si="13"/>
        <v>45+</v>
      </c>
    </row>
    <row r="447" spans="1:15" x14ac:dyDescent="0.25">
      <c r="A447" t="s">
        <v>617</v>
      </c>
      <c r="B447" s="2">
        <v>45754</v>
      </c>
      <c r="C447" t="s">
        <v>368</v>
      </c>
      <c r="D447" t="s">
        <v>93</v>
      </c>
      <c r="E447" t="s">
        <v>24</v>
      </c>
      <c r="F447">
        <v>45</v>
      </c>
      <c r="G447" t="s">
        <v>43</v>
      </c>
      <c r="H447" t="s">
        <v>44</v>
      </c>
      <c r="I447" t="s">
        <v>79</v>
      </c>
      <c r="J447" t="s">
        <v>208</v>
      </c>
      <c r="K447">
        <v>2</v>
      </c>
      <c r="L447">
        <v>3000</v>
      </c>
      <c r="M447">
        <v>6000</v>
      </c>
      <c r="N447" t="str">
        <f t="shared" si="12"/>
        <v>Apr</v>
      </c>
      <c r="O447" t="str">
        <f t="shared" si="13"/>
        <v>45+</v>
      </c>
    </row>
    <row r="448" spans="1:15" x14ac:dyDescent="0.25">
      <c r="A448" t="s">
        <v>618</v>
      </c>
      <c r="B448" s="2">
        <v>45791</v>
      </c>
      <c r="C448" t="s">
        <v>87</v>
      </c>
      <c r="D448" t="s">
        <v>97</v>
      </c>
      <c r="E448" t="s">
        <v>24</v>
      </c>
      <c r="F448">
        <v>32</v>
      </c>
      <c r="G448" t="s">
        <v>34</v>
      </c>
      <c r="H448" t="s">
        <v>18</v>
      </c>
      <c r="I448" t="s">
        <v>39</v>
      </c>
      <c r="J448" t="s">
        <v>53</v>
      </c>
      <c r="K448">
        <v>4</v>
      </c>
      <c r="L448">
        <v>800</v>
      </c>
      <c r="M448">
        <v>3200</v>
      </c>
      <c r="N448" t="str">
        <f t="shared" si="12"/>
        <v>May</v>
      </c>
      <c r="O448" t="str">
        <f t="shared" si="13"/>
        <v>25-34</v>
      </c>
    </row>
    <row r="449" spans="1:15" x14ac:dyDescent="0.25">
      <c r="A449" t="s">
        <v>619</v>
      </c>
      <c r="B449" s="2">
        <v>45851</v>
      </c>
      <c r="C449" t="s">
        <v>286</v>
      </c>
      <c r="D449" t="s">
        <v>152</v>
      </c>
      <c r="E449" t="s">
        <v>16</v>
      </c>
      <c r="F449">
        <v>41</v>
      </c>
      <c r="G449" t="s">
        <v>34</v>
      </c>
      <c r="H449" t="s">
        <v>18</v>
      </c>
      <c r="I449" t="s">
        <v>19</v>
      </c>
      <c r="J449" t="s">
        <v>20</v>
      </c>
      <c r="K449">
        <v>1</v>
      </c>
      <c r="L449">
        <v>5000</v>
      </c>
      <c r="M449">
        <v>5000</v>
      </c>
      <c r="N449" t="str">
        <f t="shared" si="12"/>
        <v>Jul</v>
      </c>
      <c r="O449" t="str">
        <f t="shared" si="13"/>
        <v>35-44</v>
      </c>
    </row>
    <row r="450" spans="1:15" x14ac:dyDescent="0.25">
      <c r="A450" t="s">
        <v>620</v>
      </c>
      <c r="B450" s="2">
        <v>45833</v>
      </c>
      <c r="C450" t="s">
        <v>89</v>
      </c>
      <c r="D450" t="s">
        <v>69</v>
      </c>
      <c r="E450" t="s">
        <v>24</v>
      </c>
      <c r="F450">
        <v>45</v>
      </c>
      <c r="G450" t="s">
        <v>25</v>
      </c>
      <c r="H450" t="s">
        <v>26</v>
      </c>
      <c r="I450" t="s">
        <v>65</v>
      </c>
      <c r="J450" t="s">
        <v>146</v>
      </c>
      <c r="K450">
        <v>5</v>
      </c>
      <c r="L450">
        <v>300</v>
      </c>
      <c r="M450">
        <v>1500</v>
      </c>
      <c r="N450" t="str">
        <f t="shared" si="12"/>
        <v>Jun</v>
      </c>
      <c r="O450" t="str">
        <f t="shared" si="13"/>
        <v>45+</v>
      </c>
    </row>
    <row r="451" spans="1:15" x14ac:dyDescent="0.25">
      <c r="A451" t="s">
        <v>621</v>
      </c>
      <c r="B451" s="2">
        <v>45895</v>
      </c>
      <c r="C451" t="s">
        <v>132</v>
      </c>
      <c r="D451" t="s">
        <v>90</v>
      </c>
      <c r="E451" t="s">
        <v>24</v>
      </c>
      <c r="F451">
        <v>22</v>
      </c>
      <c r="G451" t="s">
        <v>75</v>
      </c>
      <c r="H451" t="s">
        <v>49</v>
      </c>
      <c r="I451" t="s">
        <v>30</v>
      </c>
      <c r="J451" t="s">
        <v>31</v>
      </c>
      <c r="K451">
        <v>4</v>
      </c>
      <c r="L451">
        <v>1200</v>
      </c>
      <c r="M451">
        <v>4800</v>
      </c>
      <c r="N451" t="str">
        <f t="shared" ref="N451:N501" si="14">TEXT(B451,"mmm")</f>
        <v>Aug</v>
      </c>
      <c r="O451" t="str">
        <f t="shared" si="13"/>
        <v>18-24</v>
      </c>
    </row>
    <row r="452" spans="1:15" x14ac:dyDescent="0.25">
      <c r="A452" t="s">
        <v>622</v>
      </c>
      <c r="B452" s="2">
        <v>45802</v>
      </c>
      <c r="C452" t="s">
        <v>366</v>
      </c>
      <c r="D452" t="s">
        <v>15</v>
      </c>
      <c r="E452" t="s">
        <v>16</v>
      </c>
      <c r="F452">
        <v>52</v>
      </c>
      <c r="G452" t="s">
        <v>75</v>
      </c>
      <c r="H452" t="s">
        <v>49</v>
      </c>
      <c r="I452" t="s">
        <v>65</v>
      </c>
      <c r="J452" t="s">
        <v>121</v>
      </c>
      <c r="K452">
        <v>2</v>
      </c>
      <c r="L452">
        <v>900</v>
      </c>
      <c r="M452">
        <v>1800</v>
      </c>
      <c r="N452" t="str">
        <f t="shared" si="14"/>
        <v>May</v>
      </c>
      <c r="O452" t="str">
        <f t="shared" ref="O452:O501" si="15">IF(F452&lt;25,"18-24",IF(F452&lt;35,"25-34",IF(F452&lt;45,"35-44","45+")))</f>
        <v>45+</v>
      </c>
    </row>
    <row r="453" spans="1:15" x14ac:dyDescent="0.25">
      <c r="A453" t="s">
        <v>623</v>
      </c>
      <c r="B453" s="2">
        <v>45976</v>
      </c>
      <c r="C453" t="s">
        <v>132</v>
      </c>
      <c r="D453" t="s">
        <v>113</v>
      </c>
      <c r="E453" t="s">
        <v>16</v>
      </c>
      <c r="F453">
        <v>23</v>
      </c>
      <c r="G453" t="s">
        <v>75</v>
      </c>
      <c r="H453" t="s">
        <v>49</v>
      </c>
      <c r="I453" t="s">
        <v>19</v>
      </c>
      <c r="J453" t="s">
        <v>20</v>
      </c>
      <c r="K453">
        <v>4</v>
      </c>
      <c r="L453">
        <v>5000</v>
      </c>
      <c r="M453">
        <v>20000</v>
      </c>
      <c r="N453" t="str">
        <f t="shared" si="14"/>
        <v>Nov</v>
      </c>
      <c r="O453" t="str">
        <f t="shared" si="15"/>
        <v>18-24</v>
      </c>
    </row>
    <row r="454" spans="1:15" x14ac:dyDescent="0.25">
      <c r="A454" t="s">
        <v>624</v>
      </c>
      <c r="B454" s="2">
        <v>45713</v>
      </c>
      <c r="C454" t="s">
        <v>205</v>
      </c>
      <c r="D454" t="s">
        <v>106</v>
      </c>
      <c r="E454" t="s">
        <v>24</v>
      </c>
      <c r="F454">
        <v>32</v>
      </c>
      <c r="G454" t="s">
        <v>43</v>
      </c>
      <c r="H454" t="s">
        <v>44</v>
      </c>
      <c r="I454" t="s">
        <v>30</v>
      </c>
      <c r="J454" t="s">
        <v>71</v>
      </c>
      <c r="K454">
        <v>1</v>
      </c>
      <c r="L454">
        <v>900</v>
      </c>
      <c r="M454">
        <v>900</v>
      </c>
      <c r="N454" t="str">
        <f t="shared" si="14"/>
        <v>Feb</v>
      </c>
      <c r="O454" t="str">
        <f t="shared" si="15"/>
        <v>25-34</v>
      </c>
    </row>
    <row r="455" spans="1:15" x14ac:dyDescent="0.25">
      <c r="A455" t="s">
        <v>625</v>
      </c>
      <c r="B455" s="2">
        <v>45831</v>
      </c>
      <c r="C455" t="s">
        <v>105</v>
      </c>
      <c r="D455" t="s">
        <v>118</v>
      </c>
      <c r="E455" t="s">
        <v>16</v>
      </c>
      <c r="F455">
        <v>47</v>
      </c>
      <c r="G455" t="s">
        <v>43</v>
      </c>
      <c r="H455" t="s">
        <v>44</v>
      </c>
      <c r="I455" t="s">
        <v>19</v>
      </c>
      <c r="J455" t="s">
        <v>85</v>
      </c>
      <c r="K455">
        <v>2</v>
      </c>
      <c r="L455">
        <v>800</v>
      </c>
      <c r="M455">
        <v>1600</v>
      </c>
      <c r="N455" t="str">
        <f t="shared" si="14"/>
        <v>Jun</v>
      </c>
      <c r="O455" t="str">
        <f t="shared" si="15"/>
        <v>45+</v>
      </c>
    </row>
    <row r="456" spans="1:15" x14ac:dyDescent="0.25">
      <c r="A456" t="s">
        <v>626</v>
      </c>
      <c r="B456" s="2">
        <v>45891</v>
      </c>
      <c r="C456" t="s">
        <v>308</v>
      </c>
      <c r="D456" t="s">
        <v>101</v>
      </c>
      <c r="E456" t="s">
        <v>16</v>
      </c>
      <c r="F456">
        <v>37</v>
      </c>
      <c r="G456" t="s">
        <v>63</v>
      </c>
      <c r="H456" t="s">
        <v>64</v>
      </c>
      <c r="I456" t="s">
        <v>39</v>
      </c>
      <c r="J456" t="s">
        <v>94</v>
      </c>
      <c r="K456">
        <v>2</v>
      </c>
      <c r="L456">
        <v>600</v>
      </c>
      <c r="M456">
        <v>1200</v>
      </c>
      <c r="N456" t="str">
        <f t="shared" si="14"/>
        <v>Aug</v>
      </c>
      <c r="O456" t="str">
        <f t="shared" si="15"/>
        <v>35-44</v>
      </c>
    </row>
    <row r="457" spans="1:15" x14ac:dyDescent="0.25">
      <c r="A457" t="s">
        <v>627</v>
      </c>
      <c r="B457" s="2">
        <v>45767</v>
      </c>
      <c r="C457" t="s">
        <v>324</v>
      </c>
      <c r="D457" t="s">
        <v>15</v>
      </c>
      <c r="E457" t="s">
        <v>16</v>
      </c>
      <c r="F457">
        <v>46</v>
      </c>
      <c r="G457" t="s">
        <v>137</v>
      </c>
      <c r="H457" t="s">
        <v>137</v>
      </c>
      <c r="I457" t="s">
        <v>39</v>
      </c>
      <c r="J457" t="s">
        <v>40</v>
      </c>
      <c r="K457">
        <v>2</v>
      </c>
      <c r="L457">
        <v>350</v>
      </c>
      <c r="M457">
        <v>700</v>
      </c>
      <c r="N457" t="str">
        <f t="shared" si="14"/>
        <v>Apr</v>
      </c>
      <c r="O457" t="str">
        <f t="shared" si="15"/>
        <v>45+</v>
      </c>
    </row>
    <row r="458" spans="1:15" x14ac:dyDescent="0.25">
      <c r="A458" t="s">
        <v>628</v>
      </c>
      <c r="B458" s="2">
        <v>45722</v>
      </c>
      <c r="C458" t="s">
        <v>130</v>
      </c>
      <c r="D458" t="s">
        <v>83</v>
      </c>
      <c r="E458" t="s">
        <v>16</v>
      </c>
      <c r="F458">
        <v>39</v>
      </c>
      <c r="G458" t="s">
        <v>137</v>
      </c>
      <c r="H458" t="s">
        <v>137</v>
      </c>
      <c r="I458" t="s">
        <v>65</v>
      </c>
      <c r="J458" t="s">
        <v>146</v>
      </c>
      <c r="K458">
        <v>5</v>
      </c>
      <c r="L458">
        <v>300</v>
      </c>
      <c r="M458">
        <v>1500</v>
      </c>
      <c r="N458" t="str">
        <f t="shared" si="14"/>
        <v>Mar</v>
      </c>
      <c r="O458" t="str">
        <f t="shared" si="15"/>
        <v>35-44</v>
      </c>
    </row>
    <row r="459" spans="1:15" x14ac:dyDescent="0.25">
      <c r="A459" t="s">
        <v>629</v>
      </c>
      <c r="B459" s="2">
        <v>45932</v>
      </c>
      <c r="C459" t="s">
        <v>286</v>
      </c>
      <c r="D459" t="s">
        <v>113</v>
      </c>
      <c r="E459" t="s">
        <v>16</v>
      </c>
      <c r="F459">
        <v>33</v>
      </c>
      <c r="G459" t="s">
        <v>25</v>
      </c>
      <c r="H459" t="s">
        <v>26</v>
      </c>
      <c r="I459" t="s">
        <v>65</v>
      </c>
      <c r="J459" t="s">
        <v>125</v>
      </c>
      <c r="K459">
        <v>3</v>
      </c>
      <c r="L459">
        <v>700</v>
      </c>
      <c r="M459">
        <v>2100</v>
      </c>
      <c r="N459" t="str">
        <f t="shared" si="14"/>
        <v>Oct</v>
      </c>
      <c r="O459" t="str">
        <f t="shared" si="15"/>
        <v>25-34</v>
      </c>
    </row>
    <row r="460" spans="1:15" x14ac:dyDescent="0.25">
      <c r="A460" t="s">
        <v>630</v>
      </c>
      <c r="B460" s="2">
        <v>45658</v>
      </c>
      <c r="C460" t="s">
        <v>393</v>
      </c>
      <c r="D460" t="s">
        <v>59</v>
      </c>
      <c r="E460" t="s">
        <v>24</v>
      </c>
      <c r="F460">
        <v>19</v>
      </c>
      <c r="G460" t="s">
        <v>17</v>
      </c>
      <c r="H460" t="s">
        <v>18</v>
      </c>
      <c r="I460" t="s">
        <v>65</v>
      </c>
      <c r="J460" t="s">
        <v>146</v>
      </c>
      <c r="K460">
        <v>2</v>
      </c>
      <c r="L460">
        <v>300</v>
      </c>
      <c r="M460">
        <v>600</v>
      </c>
      <c r="N460" t="str">
        <f t="shared" si="14"/>
        <v>Jan</v>
      </c>
      <c r="O460" t="str">
        <f t="shared" si="15"/>
        <v>18-24</v>
      </c>
    </row>
    <row r="461" spans="1:15" x14ac:dyDescent="0.25">
      <c r="A461" t="s">
        <v>631</v>
      </c>
      <c r="B461" s="2">
        <v>45954</v>
      </c>
      <c r="C461" t="s">
        <v>120</v>
      </c>
      <c r="D461" t="s">
        <v>69</v>
      </c>
      <c r="E461" t="s">
        <v>24</v>
      </c>
      <c r="F461">
        <v>52</v>
      </c>
      <c r="G461" t="s">
        <v>75</v>
      </c>
      <c r="H461" t="s">
        <v>49</v>
      </c>
      <c r="I461" t="s">
        <v>65</v>
      </c>
      <c r="J461" t="s">
        <v>125</v>
      </c>
      <c r="K461">
        <v>2</v>
      </c>
      <c r="L461">
        <v>700</v>
      </c>
      <c r="M461">
        <v>1400</v>
      </c>
      <c r="N461" t="str">
        <f t="shared" si="14"/>
        <v>Oct</v>
      </c>
      <c r="O461" t="str">
        <f t="shared" si="15"/>
        <v>45+</v>
      </c>
    </row>
    <row r="462" spans="1:15" x14ac:dyDescent="0.25">
      <c r="A462" t="s">
        <v>632</v>
      </c>
      <c r="B462" s="2">
        <v>45709</v>
      </c>
      <c r="C462" t="s">
        <v>166</v>
      </c>
      <c r="D462" t="s">
        <v>59</v>
      </c>
      <c r="E462" t="s">
        <v>24</v>
      </c>
      <c r="F462">
        <v>28</v>
      </c>
      <c r="G462" t="s">
        <v>43</v>
      </c>
      <c r="H462" t="s">
        <v>44</v>
      </c>
      <c r="I462" t="s">
        <v>39</v>
      </c>
      <c r="J462" t="s">
        <v>94</v>
      </c>
      <c r="K462">
        <v>1</v>
      </c>
      <c r="L462">
        <v>600</v>
      </c>
      <c r="M462">
        <v>600</v>
      </c>
      <c r="N462" t="str">
        <f t="shared" si="14"/>
        <v>Feb</v>
      </c>
      <c r="O462" t="str">
        <f t="shared" si="15"/>
        <v>25-34</v>
      </c>
    </row>
    <row r="463" spans="1:15" x14ac:dyDescent="0.25">
      <c r="A463" t="s">
        <v>633</v>
      </c>
      <c r="B463" s="2">
        <v>45668</v>
      </c>
      <c r="C463" t="s">
        <v>275</v>
      </c>
      <c r="D463" t="s">
        <v>124</v>
      </c>
      <c r="E463" t="s">
        <v>24</v>
      </c>
      <c r="F463">
        <v>22</v>
      </c>
      <c r="G463" t="s">
        <v>43</v>
      </c>
      <c r="H463" t="s">
        <v>44</v>
      </c>
      <c r="I463" t="s">
        <v>65</v>
      </c>
      <c r="J463" t="s">
        <v>121</v>
      </c>
      <c r="K463">
        <v>5</v>
      </c>
      <c r="L463">
        <v>900</v>
      </c>
      <c r="M463">
        <v>4500</v>
      </c>
      <c r="N463" t="str">
        <f t="shared" si="14"/>
        <v>Jan</v>
      </c>
      <c r="O463" t="str">
        <f t="shared" si="15"/>
        <v>18-24</v>
      </c>
    </row>
    <row r="464" spans="1:15" x14ac:dyDescent="0.25">
      <c r="A464" t="s">
        <v>634</v>
      </c>
      <c r="B464" s="2">
        <v>45845</v>
      </c>
      <c r="C464" t="s">
        <v>201</v>
      </c>
      <c r="D464" t="s">
        <v>118</v>
      </c>
      <c r="E464" t="s">
        <v>16</v>
      </c>
      <c r="F464">
        <v>19</v>
      </c>
      <c r="G464" t="s">
        <v>75</v>
      </c>
      <c r="H464" t="s">
        <v>49</v>
      </c>
      <c r="I464" t="s">
        <v>79</v>
      </c>
      <c r="J464" t="s">
        <v>188</v>
      </c>
      <c r="K464">
        <v>4</v>
      </c>
      <c r="L464">
        <v>1800</v>
      </c>
      <c r="M464">
        <v>7200</v>
      </c>
      <c r="N464" t="str">
        <f t="shared" si="14"/>
        <v>Jul</v>
      </c>
      <c r="O464" t="str">
        <f t="shared" si="15"/>
        <v>18-24</v>
      </c>
    </row>
    <row r="465" spans="1:15" x14ac:dyDescent="0.25">
      <c r="A465" t="s">
        <v>635</v>
      </c>
      <c r="B465" s="2">
        <v>45841</v>
      </c>
      <c r="C465" t="s">
        <v>141</v>
      </c>
      <c r="D465" t="s">
        <v>29</v>
      </c>
      <c r="E465" t="s">
        <v>24</v>
      </c>
      <c r="F465">
        <v>19</v>
      </c>
      <c r="G465" t="s">
        <v>17</v>
      </c>
      <c r="H465" t="s">
        <v>18</v>
      </c>
      <c r="I465" t="s">
        <v>30</v>
      </c>
      <c r="J465" t="s">
        <v>71</v>
      </c>
      <c r="K465">
        <v>1</v>
      </c>
      <c r="L465">
        <v>900</v>
      </c>
      <c r="M465">
        <v>900</v>
      </c>
      <c r="N465" t="str">
        <f t="shared" si="14"/>
        <v>Jul</v>
      </c>
      <c r="O465" t="str">
        <f t="shared" si="15"/>
        <v>18-24</v>
      </c>
    </row>
    <row r="466" spans="1:15" x14ac:dyDescent="0.25">
      <c r="A466" t="s">
        <v>636</v>
      </c>
      <c r="B466" s="2">
        <v>45737</v>
      </c>
      <c r="C466" t="s">
        <v>180</v>
      </c>
      <c r="D466" t="s">
        <v>118</v>
      </c>
      <c r="E466" t="s">
        <v>16</v>
      </c>
      <c r="F466">
        <v>34</v>
      </c>
      <c r="G466" t="s">
        <v>34</v>
      </c>
      <c r="H466" t="s">
        <v>18</v>
      </c>
      <c r="I466" t="s">
        <v>39</v>
      </c>
      <c r="J466" t="s">
        <v>94</v>
      </c>
      <c r="K466">
        <v>5</v>
      </c>
      <c r="L466">
        <v>600</v>
      </c>
      <c r="M466">
        <v>3000</v>
      </c>
      <c r="N466" t="str">
        <f t="shared" si="14"/>
        <v>Mar</v>
      </c>
      <c r="O466" t="str">
        <f t="shared" si="15"/>
        <v>25-34</v>
      </c>
    </row>
    <row r="467" spans="1:15" x14ac:dyDescent="0.25">
      <c r="A467" t="s">
        <v>637</v>
      </c>
      <c r="B467" s="2">
        <v>45986</v>
      </c>
      <c r="C467" t="s">
        <v>425</v>
      </c>
      <c r="D467" t="s">
        <v>23</v>
      </c>
      <c r="E467" t="s">
        <v>24</v>
      </c>
      <c r="F467">
        <v>36</v>
      </c>
      <c r="G467" t="s">
        <v>17</v>
      </c>
      <c r="H467" t="s">
        <v>18</v>
      </c>
      <c r="I467" t="s">
        <v>19</v>
      </c>
      <c r="J467" t="s">
        <v>45</v>
      </c>
      <c r="K467">
        <v>3</v>
      </c>
      <c r="L467">
        <v>1500</v>
      </c>
      <c r="M467">
        <v>4500</v>
      </c>
      <c r="N467" t="str">
        <f t="shared" si="14"/>
        <v>Nov</v>
      </c>
      <c r="O467" t="str">
        <f t="shared" si="15"/>
        <v>35-44</v>
      </c>
    </row>
    <row r="468" spans="1:15" x14ac:dyDescent="0.25">
      <c r="A468" t="s">
        <v>638</v>
      </c>
      <c r="B468" s="2">
        <v>45793</v>
      </c>
      <c r="C468" t="s">
        <v>286</v>
      </c>
      <c r="D468" t="s">
        <v>15</v>
      </c>
      <c r="E468" t="s">
        <v>16</v>
      </c>
      <c r="F468">
        <v>39</v>
      </c>
      <c r="G468" t="s">
        <v>17</v>
      </c>
      <c r="H468" t="s">
        <v>18</v>
      </c>
      <c r="I468" t="s">
        <v>79</v>
      </c>
      <c r="J468" t="s">
        <v>188</v>
      </c>
      <c r="K468">
        <v>3</v>
      </c>
      <c r="L468">
        <v>1800</v>
      </c>
      <c r="M468">
        <v>5400</v>
      </c>
      <c r="N468" t="str">
        <f t="shared" si="14"/>
        <v>May</v>
      </c>
      <c r="O468" t="str">
        <f t="shared" si="15"/>
        <v>35-44</v>
      </c>
    </row>
    <row r="469" spans="1:15" x14ac:dyDescent="0.25">
      <c r="A469" t="s">
        <v>639</v>
      </c>
      <c r="B469" s="2">
        <v>46016</v>
      </c>
      <c r="C469" t="s">
        <v>294</v>
      </c>
      <c r="D469" t="s">
        <v>106</v>
      </c>
      <c r="E469" t="s">
        <v>24</v>
      </c>
      <c r="F469">
        <v>45</v>
      </c>
      <c r="G469" t="s">
        <v>43</v>
      </c>
      <c r="H469" t="s">
        <v>44</v>
      </c>
      <c r="I469" t="s">
        <v>19</v>
      </c>
      <c r="J469" t="s">
        <v>76</v>
      </c>
      <c r="K469">
        <v>4</v>
      </c>
      <c r="L469">
        <v>2500</v>
      </c>
      <c r="M469">
        <v>10000</v>
      </c>
      <c r="N469" t="str">
        <f t="shared" si="14"/>
        <v>Dec</v>
      </c>
      <c r="O469" t="str">
        <f t="shared" si="15"/>
        <v>45+</v>
      </c>
    </row>
    <row r="470" spans="1:15" x14ac:dyDescent="0.25">
      <c r="A470" t="s">
        <v>640</v>
      </c>
      <c r="B470" s="2">
        <v>45986</v>
      </c>
      <c r="C470" t="s">
        <v>143</v>
      </c>
      <c r="D470" t="s">
        <v>59</v>
      </c>
      <c r="E470" t="s">
        <v>24</v>
      </c>
      <c r="F470">
        <v>55</v>
      </c>
      <c r="G470" t="s">
        <v>63</v>
      </c>
      <c r="H470" t="s">
        <v>64</v>
      </c>
      <c r="I470" t="s">
        <v>19</v>
      </c>
      <c r="J470" t="s">
        <v>76</v>
      </c>
      <c r="K470">
        <v>4</v>
      </c>
      <c r="L470">
        <v>2500</v>
      </c>
      <c r="M470">
        <v>10000</v>
      </c>
      <c r="N470" t="str">
        <f t="shared" si="14"/>
        <v>Nov</v>
      </c>
      <c r="O470" t="str">
        <f t="shared" si="15"/>
        <v>45+</v>
      </c>
    </row>
    <row r="471" spans="1:15" x14ac:dyDescent="0.25">
      <c r="A471" t="s">
        <v>641</v>
      </c>
      <c r="B471" s="2">
        <v>46002</v>
      </c>
      <c r="C471" t="s">
        <v>275</v>
      </c>
      <c r="D471" t="s">
        <v>101</v>
      </c>
      <c r="E471" t="s">
        <v>16</v>
      </c>
      <c r="F471">
        <v>36</v>
      </c>
      <c r="G471" t="s">
        <v>34</v>
      </c>
      <c r="H471" t="s">
        <v>18</v>
      </c>
      <c r="I471" t="s">
        <v>19</v>
      </c>
      <c r="J471" t="s">
        <v>85</v>
      </c>
      <c r="K471">
        <v>5</v>
      </c>
      <c r="L471">
        <v>800</v>
      </c>
      <c r="M471">
        <v>4000</v>
      </c>
      <c r="N471" t="str">
        <f t="shared" si="14"/>
        <v>Dec</v>
      </c>
      <c r="O471" t="str">
        <f t="shared" si="15"/>
        <v>35-44</v>
      </c>
    </row>
    <row r="472" spans="1:15" x14ac:dyDescent="0.25">
      <c r="A472" t="s">
        <v>642</v>
      </c>
      <c r="B472" s="2">
        <v>45976</v>
      </c>
      <c r="C472" t="s">
        <v>224</v>
      </c>
      <c r="D472" t="s">
        <v>15</v>
      </c>
      <c r="E472" t="s">
        <v>16</v>
      </c>
      <c r="F472">
        <v>34</v>
      </c>
      <c r="G472" t="s">
        <v>17</v>
      </c>
      <c r="H472" t="s">
        <v>18</v>
      </c>
      <c r="I472" t="s">
        <v>30</v>
      </c>
      <c r="J472" t="s">
        <v>31</v>
      </c>
      <c r="K472">
        <v>1</v>
      </c>
      <c r="L472">
        <v>1200</v>
      </c>
      <c r="M472">
        <v>1200</v>
      </c>
      <c r="N472" t="str">
        <f t="shared" si="14"/>
        <v>Nov</v>
      </c>
      <c r="O472" t="str">
        <f t="shared" si="15"/>
        <v>25-34</v>
      </c>
    </row>
    <row r="473" spans="1:15" x14ac:dyDescent="0.25">
      <c r="A473" t="s">
        <v>643</v>
      </c>
      <c r="B473" s="2">
        <v>45978</v>
      </c>
      <c r="C473" t="s">
        <v>324</v>
      </c>
      <c r="D473" t="s">
        <v>83</v>
      </c>
      <c r="E473" t="s">
        <v>16</v>
      </c>
      <c r="F473">
        <v>33</v>
      </c>
      <c r="G473" t="s">
        <v>25</v>
      </c>
      <c r="H473" t="s">
        <v>26</v>
      </c>
      <c r="I473" t="s">
        <v>39</v>
      </c>
      <c r="J473" t="s">
        <v>53</v>
      </c>
      <c r="K473">
        <v>1</v>
      </c>
      <c r="L473">
        <v>800</v>
      </c>
      <c r="M473">
        <v>800</v>
      </c>
      <c r="N473" t="str">
        <f t="shared" si="14"/>
        <v>Nov</v>
      </c>
      <c r="O473" t="str">
        <f t="shared" si="15"/>
        <v>25-34</v>
      </c>
    </row>
    <row r="474" spans="1:15" x14ac:dyDescent="0.25">
      <c r="A474" t="s">
        <v>644</v>
      </c>
      <c r="B474" s="2">
        <v>45756</v>
      </c>
      <c r="C474" t="s">
        <v>180</v>
      </c>
      <c r="D474" t="s">
        <v>29</v>
      </c>
      <c r="E474" t="s">
        <v>24</v>
      </c>
      <c r="F474">
        <v>55</v>
      </c>
      <c r="G474" t="s">
        <v>25</v>
      </c>
      <c r="H474" t="s">
        <v>26</v>
      </c>
      <c r="I474" t="s">
        <v>39</v>
      </c>
      <c r="J474" t="s">
        <v>53</v>
      </c>
      <c r="K474">
        <v>2</v>
      </c>
      <c r="L474">
        <v>800</v>
      </c>
      <c r="M474">
        <v>1600</v>
      </c>
      <c r="N474" t="str">
        <f t="shared" si="14"/>
        <v>Apr</v>
      </c>
      <c r="O474" t="str">
        <f t="shared" si="15"/>
        <v>45+</v>
      </c>
    </row>
    <row r="475" spans="1:15" x14ac:dyDescent="0.25">
      <c r="A475" t="s">
        <v>645</v>
      </c>
      <c r="B475" s="2">
        <v>45904</v>
      </c>
      <c r="C475" t="s">
        <v>103</v>
      </c>
      <c r="D475" t="s">
        <v>118</v>
      </c>
      <c r="E475" t="s">
        <v>16</v>
      </c>
      <c r="F475">
        <v>20</v>
      </c>
      <c r="G475" t="s">
        <v>17</v>
      </c>
      <c r="H475" t="s">
        <v>18</v>
      </c>
      <c r="I475" t="s">
        <v>65</v>
      </c>
      <c r="J475" t="s">
        <v>125</v>
      </c>
      <c r="K475">
        <v>4</v>
      </c>
      <c r="L475">
        <v>700</v>
      </c>
      <c r="M475">
        <v>2800</v>
      </c>
      <c r="N475" t="str">
        <f t="shared" si="14"/>
        <v>Sep</v>
      </c>
      <c r="O475" t="str">
        <f t="shared" si="15"/>
        <v>18-24</v>
      </c>
    </row>
    <row r="476" spans="1:15" x14ac:dyDescent="0.25">
      <c r="A476" t="s">
        <v>646</v>
      </c>
      <c r="B476" s="2">
        <v>45963</v>
      </c>
      <c r="C476" t="s">
        <v>120</v>
      </c>
      <c r="D476" t="s">
        <v>15</v>
      </c>
      <c r="E476" t="s">
        <v>16</v>
      </c>
      <c r="F476">
        <v>35</v>
      </c>
      <c r="G476" t="s">
        <v>75</v>
      </c>
      <c r="H476" t="s">
        <v>49</v>
      </c>
      <c r="I476" t="s">
        <v>19</v>
      </c>
      <c r="J476" t="s">
        <v>45</v>
      </c>
      <c r="K476">
        <v>5</v>
      </c>
      <c r="L476">
        <v>1500</v>
      </c>
      <c r="M476">
        <v>7500</v>
      </c>
      <c r="N476" t="str">
        <f t="shared" si="14"/>
        <v>Nov</v>
      </c>
      <c r="O476" t="str">
        <f t="shared" si="15"/>
        <v>35-44</v>
      </c>
    </row>
    <row r="477" spans="1:15" x14ac:dyDescent="0.25">
      <c r="A477" t="s">
        <v>647</v>
      </c>
      <c r="B477" s="2">
        <v>45936</v>
      </c>
      <c r="C477" t="s">
        <v>446</v>
      </c>
      <c r="D477" t="s">
        <v>78</v>
      </c>
      <c r="E477" t="s">
        <v>16</v>
      </c>
      <c r="F477">
        <v>44</v>
      </c>
      <c r="G477" t="s">
        <v>25</v>
      </c>
      <c r="H477" t="s">
        <v>26</v>
      </c>
      <c r="I477" t="s">
        <v>65</v>
      </c>
      <c r="J477" t="s">
        <v>121</v>
      </c>
      <c r="K477">
        <v>3</v>
      </c>
      <c r="L477">
        <v>900</v>
      </c>
      <c r="M477">
        <v>2700</v>
      </c>
      <c r="N477" t="str">
        <f t="shared" si="14"/>
        <v>Oct</v>
      </c>
      <c r="O477" t="str">
        <f t="shared" si="15"/>
        <v>35-44</v>
      </c>
    </row>
    <row r="478" spans="1:15" x14ac:dyDescent="0.25">
      <c r="A478" t="s">
        <v>648</v>
      </c>
      <c r="B478" s="2">
        <v>45747</v>
      </c>
      <c r="C478" t="s">
        <v>58</v>
      </c>
      <c r="D478" t="s">
        <v>56</v>
      </c>
      <c r="E478" t="s">
        <v>16</v>
      </c>
      <c r="F478">
        <v>23</v>
      </c>
      <c r="G478" t="s">
        <v>17</v>
      </c>
      <c r="H478" t="s">
        <v>18</v>
      </c>
      <c r="I478" t="s">
        <v>30</v>
      </c>
      <c r="J478" t="s">
        <v>35</v>
      </c>
      <c r="K478">
        <v>2</v>
      </c>
      <c r="L478">
        <v>700</v>
      </c>
      <c r="M478">
        <v>1400</v>
      </c>
      <c r="N478" t="str">
        <f t="shared" si="14"/>
        <v>Mar</v>
      </c>
      <c r="O478" t="str">
        <f t="shared" si="15"/>
        <v>18-24</v>
      </c>
    </row>
    <row r="479" spans="1:15" x14ac:dyDescent="0.25">
      <c r="A479" t="s">
        <v>649</v>
      </c>
      <c r="B479" s="2">
        <v>45900</v>
      </c>
      <c r="C479" t="s">
        <v>105</v>
      </c>
      <c r="D479" t="s">
        <v>15</v>
      </c>
      <c r="E479" t="s">
        <v>16</v>
      </c>
      <c r="F479">
        <v>24</v>
      </c>
      <c r="G479" t="s">
        <v>70</v>
      </c>
      <c r="H479" t="s">
        <v>18</v>
      </c>
      <c r="I479" t="s">
        <v>39</v>
      </c>
      <c r="J479" t="s">
        <v>94</v>
      </c>
      <c r="K479">
        <v>1</v>
      </c>
      <c r="L479">
        <v>600</v>
      </c>
      <c r="M479">
        <v>600</v>
      </c>
      <c r="N479" t="str">
        <f t="shared" si="14"/>
        <v>Aug</v>
      </c>
      <c r="O479" t="str">
        <f t="shared" si="15"/>
        <v>18-24</v>
      </c>
    </row>
    <row r="480" spans="1:15" x14ac:dyDescent="0.25">
      <c r="A480" t="s">
        <v>650</v>
      </c>
      <c r="B480" s="2">
        <v>45878</v>
      </c>
      <c r="C480" t="s">
        <v>215</v>
      </c>
      <c r="D480" t="s">
        <v>29</v>
      </c>
      <c r="E480" t="s">
        <v>24</v>
      </c>
      <c r="F480">
        <v>48</v>
      </c>
      <c r="G480" t="s">
        <v>48</v>
      </c>
      <c r="H480" t="s">
        <v>49</v>
      </c>
      <c r="I480" t="s">
        <v>65</v>
      </c>
      <c r="J480" t="s">
        <v>66</v>
      </c>
      <c r="K480">
        <v>2</v>
      </c>
      <c r="L480">
        <v>500</v>
      </c>
      <c r="M480">
        <v>1000</v>
      </c>
      <c r="N480" t="str">
        <f t="shared" si="14"/>
        <v>Aug</v>
      </c>
      <c r="O480" t="str">
        <f t="shared" si="15"/>
        <v>45+</v>
      </c>
    </row>
    <row r="481" spans="1:15" x14ac:dyDescent="0.25">
      <c r="A481" t="s">
        <v>651</v>
      </c>
      <c r="B481" s="2">
        <v>45698</v>
      </c>
      <c r="C481" t="s">
        <v>371</v>
      </c>
      <c r="D481" t="s">
        <v>74</v>
      </c>
      <c r="E481" t="s">
        <v>16</v>
      </c>
      <c r="F481">
        <v>40</v>
      </c>
      <c r="G481" t="s">
        <v>43</v>
      </c>
      <c r="H481" t="s">
        <v>44</v>
      </c>
      <c r="I481" t="s">
        <v>79</v>
      </c>
      <c r="J481" t="s">
        <v>188</v>
      </c>
      <c r="K481">
        <v>3</v>
      </c>
      <c r="L481">
        <v>1800</v>
      </c>
      <c r="M481">
        <v>5400</v>
      </c>
      <c r="N481" t="str">
        <f t="shared" si="14"/>
        <v>Feb</v>
      </c>
      <c r="O481" t="str">
        <f t="shared" si="15"/>
        <v>35-44</v>
      </c>
    </row>
    <row r="482" spans="1:15" x14ac:dyDescent="0.25">
      <c r="A482" t="s">
        <v>652</v>
      </c>
      <c r="B482" s="2">
        <v>45846</v>
      </c>
      <c r="C482" t="s">
        <v>451</v>
      </c>
      <c r="D482" t="s">
        <v>52</v>
      </c>
      <c r="E482" t="s">
        <v>24</v>
      </c>
      <c r="F482">
        <v>39</v>
      </c>
      <c r="G482" t="s">
        <v>75</v>
      </c>
      <c r="H482" t="s">
        <v>49</v>
      </c>
      <c r="I482" t="s">
        <v>39</v>
      </c>
      <c r="J482" t="s">
        <v>94</v>
      </c>
      <c r="K482">
        <v>5</v>
      </c>
      <c r="L482">
        <v>600</v>
      </c>
      <c r="M482">
        <v>3000</v>
      </c>
      <c r="N482" t="str">
        <f t="shared" si="14"/>
        <v>Jul</v>
      </c>
      <c r="O482" t="str">
        <f t="shared" si="15"/>
        <v>35-44</v>
      </c>
    </row>
    <row r="483" spans="1:15" x14ac:dyDescent="0.25">
      <c r="A483" t="s">
        <v>653</v>
      </c>
      <c r="B483" s="2">
        <v>45696</v>
      </c>
      <c r="C483" t="s">
        <v>55</v>
      </c>
      <c r="D483" t="s">
        <v>59</v>
      </c>
      <c r="E483" t="s">
        <v>24</v>
      </c>
      <c r="F483">
        <v>25</v>
      </c>
      <c r="G483" t="s">
        <v>70</v>
      </c>
      <c r="H483" t="s">
        <v>18</v>
      </c>
      <c r="I483" t="s">
        <v>30</v>
      </c>
      <c r="J483" t="s">
        <v>175</v>
      </c>
      <c r="K483">
        <v>4</v>
      </c>
      <c r="L483">
        <v>1800</v>
      </c>
      <c r="M483">
        <v>7200</v>
      </c>
      <c r="N483" t="str">
        <f t="shared" si="14"/>
        <v>Feb</v>
      </c>
      <c r="O483" t="str">
        <f t="shared" si="15"/>
        <v>25-34</v>
      </c>
    </row>
    <row r="484" spans="1:15" x14ac:dyDescent="0.25">
      <c r="A484" t="s">
        <v>654</v>
      </c>
      <c r="B484" s="2">
        <v>46011</v>
      </c>
      <c r="C484" t="s">
        <v>425</v>
      </c>
      <c r="D484" t="s">
        <v>83</v>
      </c>
      <c r="E484" t="s">
        <v>16</v>
      </c>
      <c r="F484">
        <v>40</v>
      </c>
      <c r="G484" t="s">
        <v>17</v>
      </c>
      <c r="H484" t="s">
        <v>18</v>
      </c>
      <c r="I484" t="s">
        <v>39</v>
      </c>
      <c r="J484" t="s">
        <v>53</v>
      </c>
      <c r="K484">
        <v>1</v>
      </c>
      <c r="L484">
        <v>800</v>
      </c>
      <c r="M484">
        <v>800</v>
      </c>
      <c r="N484" t="str">
        <f t="shared" si="14"/>
        <v>Dec</v>
      </c>
      <c r="O484" t="str">
        <f t="shared" si="15"/>
        <v>35-44</v>
      </c>
    </row>
    <row r="485" spans="1:15" x14ac:dyDescent="0.25">
      <c r="A485" t="s">
        <v>655</v>
      </c>
      <c r="B485" s="2">
        <v>45825</v>
      </c>
      <c r="C485" t="s">
        <v>446</v>
      </c>
      <c r="D485" t="s">
        <v>74</v>
      </c>
      <c r="E485" t="s">
        <v>16</v>
      </c>
      <c r="F485">
        <v>53</v>
      </c>
      <c r="G485" t="s">
        <v>63</v>
      </c>
      <c r="H485" t="s">
        <v>64</v>
      </c>
      <c r="I485" t="s">
        <v>19</v>
      </c>
      <c r="J485" t="s">
        <v>76</v>
      </c>
      <c r="K485">
        <v>2</v>
      </c>
      <c r="L485">
        <v>2500</v>
      </c>
      <c r="M485">
        <v>5000</v>
      </c>
      <c r="N485" t="str">
        <f t="shared" si="14"/>
        <v>Jun</v>
      </c>
      <c r="O485" t="str">
        <f t="shared" si="15"/>
        <v>45+</v>
      </c>
    </row>
    <row r="486" spans="1:15" x14ac:dyDescent="0.25">
      <c r="A486" t="s">
        <v>656</v>
      </c>
      <c r="B486" s="2">
        <v>45844</v>
      </c>
      <c r="C486" t="s">
        <v>82</v>
      </c>
      <c r="D486" t="s">
        <v>69</v>
      </c>
      <c r="E486" t="s">
        <v>24</v>
      </c>
      <c r="F486">
        <v>40</v>
      </c>
      <c r="G486" t="s">
        <v>63</v>
      </c>
      <c r="H486" t="s">
        <v>64</v>
      </c>
      <c r="I486" t="s">
        <v>79</v>
      </c>
      <c r="J486" t="s">
        <v>80</v>
      </c>
      <c r="K486">
        <v>1</v>
      </c>
      <c r="L486">
        <v>600</v>
      </c>
      <c r="M486">
        <v>600</v>
      </c>
      <c r="N486" t="str">
        <f t="shared" si="14"/>
        <v>Jul</v>
      </c>
      <c r="O486" t="str">
        <f t="shared" si="15"/>
        <v>35-44</v>
      </c>
    </row>
    <row r="487" spans="1:15" x14ac:dyDescent="0.25">
      <c r="A487" t="s">
        <v>657</v>
      </c>
      <c r="B487" s="2">
        <v>46017</v>
      </c>
      <c r="C487" t="s">
        <v>241</v>
      </c>
      <c r="D487" t="s">
        <v>106</v>
      </c>
      <c r="E487" t="s">
        <v>24</v>
      </c>
      <c r="F487">
        <v>55</v>
      </c>
      <c r="G487" t="s">
        <v>34</v>
      </c>
      <c r="H487" t="s">
        <v>18</v>
      </c>
      <c r="I487" t="s">
        <v>39</v>
      </c>
      <c r="J487" t="s">
        <v>60</v>
      </c>
      <c r="K487">
        <v>4</v>
      </c>
      <c r="L487">
        <v>1500</v>
      </c>
      <c r="M487">
        <v>6000</v>
      </c>
      <c r="N487" t="str">
        <f t="shared" si="14"/>
        <v>Dec</v>
      </c>
      <c r="O487" t="str">
        <f t="shared" si="15"/>
        <v>45+</v>
      </c>
    </row>
    <row r="488" spans="1:15" x14ac:dyDescent="0.25">
      <c r="A488" t="s">
        <v>658</v>
      </c>
      <c r="B488" s="2">
        <v>45771</v>
      </c>
      <c r="C488" t="s">
        <v>322</v>
      </c>
      <c r="D488" t="s">
        <v>113</v>
      </c>
      <c r="E488" t="s">
        <v>16</v>
      </c>
      <c r="F488">
        <v>25</v>
      </c>
      <c r="G488" t="s">
        <v>25</v>
      </c>
      <c r="H488" t="s">
        <v>26</v>
      </c>
      <c r="I488" t="s">
        <v>19</v>
      </c>
      <c r="J488" t="s">
        <v>45</v>
      </c>
      <c r="K488">
        <v>5</v>
      </c>
      <c r="L488">
        <v>1500</v>
      </c>
      <c r="M488">
        <v>7500</v>
      </c>
      <c r="N488" t="str">
        <f t="shared" si="14"/>
        <v>Apr</v>
      </c>
      <c r="O488" t="str">
        <f t="shared" si="15"/>
        <v>25-34</v>
      </c>
    </row>
    <row r="489" spans="1:15" x14ac:dyDescent="0.25">
      <c r="A489" t="s">
        <v>659</v>
      </c>
      <c r="B489" s="2">
        <v>45959</v>
      </c>
      <c r="C489" t="s">
        <v>82</v>
      </c>
      <c r="D489" t="s">
        <v>97</v>
      </c>
      <c r="E489" t="s">
        <v>24</v>
      </c>
      <c r="F489">
        <v>54</v>
      </c>
      <c r="G489" t="s">
        <v>34</v>
      </c>
      <c r="H489" t="s">
        <v>18</v>
      </c>
      <c r="I489" t="s">
        <v>30</v>
      </c>
      <c r="J489" t="s">
        <v>175</v>
      </c>
      <c r="K489">
        <v>5</v>
      </c>
      <c r="L489">
        <v>1800</v>
      </c>
      <c r="M489">
        <v>9000</v>
      </c>
      <c r="N489" t="str">
        <f t="shared" si="14"/>
        <v>Oct</v>
      </c>
      <c r="O489" t="str">
        <f t="shared" si="15"/>
        <v>45+</v>
      </c>
    </row>
    <row r="490" spans="1:15" x14ac:dyDescent="0.25">
      <c r="A490" t="s">
        <v>660</v>
      </c>
      <c r="B490" s="2">
        <v>45921</v>
      </c>
      <c r="C490" t="s">
        <v>195</v>
      </c>
      <c r="D490" t="s">
        <v>29</v>
      </c>
      <c r="E490" t="s">
        <v>24</v>
      </c>
      <c r="F490">
        <v>38</v>
      </c>
      <c r="G490" t="s">
        <v>75</v>
      </c>
      <c r="H490" t="s">
        <v>49</v>
      </c>
      <c r="I490" t="s">
        <v>79</v>
      </c>
      <c r="J490" t="s">
        <v>114</v>
      </c>
      <c r="K490">
        <v>2</v>
      </c>
      <c r="L490">
        <v>2500</v>
      </c>
      <c r="M490">
        <v>5000</v>
      </c>
      <c r="N490" t="str">
        <f t="shared" si="14"/>
        <v>Sep</v>
      </c>
      <c r="O490" s="13" t="str">
        <f t="shared" si="15"/>
        <v>35-44</v>
      </c>
    </row>
    <row r="491" spans="1:15" x14ac:dyDescent="0.25">
      <c r="A491" t="s">
        <v>661</v>
      </c>
      <c r="B491" s="2">
        <v>45949</v>
      </c>
      <c r="C491" t="s">
        <v>207</v>
      </c>
      <c r="D491" t="s">
        <v>93</v>
      </c>
      <c r="E491" t="s">
        <v>24</v>
      </c>
      <c r="F491">
        <v>55</v>
      </c>
      <c r="G491" t="s">
        <v>48</v>
      </c>
      <c r="H491" t="s">
        <v>49</v>
      </c>
      <c r="I491" t="s">
        <v>19</v>
      </c>
      <c r="J491" t="s">
        <v>45</v>
      </c>
      <c r="K491">
        <v>5</v>
      </c>
      <c r="L491">
        <v>1500</v>
      </c>
      <c r="M491">
        <v>7500</v>
      </c>
      <c r="N491" t="str">
        <f t="shared" si="14"/>
        <v>Oct</v>
      </c>
      <c r="O491" t="str">
        <f t="shared" si="15"/>
        <v>45+</v>
      </c>
    </row>
    <row r="492" spans="1:15" x14ac:dyDescent="0.25">
      <c r="A492" t="s">
        <v>662</v>
      </c>
      <c r="B492" s="2">
        <v>45778</v>
      </c>
      <c r="C492" t="s">
        <v>172</v>
      </c>
      <c r="D492" t="s">
        <v>52</v>
      </c>
      <c r="E492" t="s">
        <v>24</v>
      </c>
      <c r="F492">
        <v>53</v>
      </c>
      <c r="G492" t="s">
        <v>38</v>
      </c>
      <c r="H492" t="s">
        <v>26</v>
      </c>
      <c r="I492" t="s">
        <v>79</v>
      </c>
      <c r="J492" t="s">
        <v>114</v>
      </c>
      <c r="K492">
        <v>4</v>
      </c>
      <c r="L492">
        <v>2500</v>
      </c>
      <c r="M492">
        <v>10000</v>
      </c>
      <c r="N492" t="str">
        <f t="shared" si="14"/>
        <v>May</v>
      </c>
      <c r="O492" t="str">
        <f t="shared" si="15"/>
        <v>45+</v>
      </c>
    </row>
    <row r="493" spans="1:15" x14ac:dyDescent="0.25">
      <c r="A493" t="s">
        <v>663</v>
      </c>
      <c r="B493" s="2">
        <v>45821</v>
      </c>
      <c r="C493" t="s">
        <v>22</v>
      </c>
      <c r="D493" t="s">
        <v>62</v>
      </c>
      <c r="E493" t="s">
        <v>16</v>
      </c>
      <c r="F493">
        <v>33</v>
      </c>
      <c r="G493" t="s">
        <v>137</v>
      </c>
      <c r="H493" t="s">
        <v>137</v>
      </c>
      <c r="I493" t="s">
        <v>39</v>
      </c>
      <c r="J493" t="s">
        <v>60</v>
      </c>
      <c r="K493">
        <v>1</v>
      </c>
      <c r="L493">
        <v>1500</v>
      </c>
      <c r="M493">
        <v>1500</v>
      </c>
      <c r="N493" t="str">
        <f t="shared" si="14"/>
        <v>Jun</v>
      </c>
      <c r="O493" t="str">
        <f t="shared" si="15"/>
        <v>25-34</v>
      </c>
    </row>
    <row r="494" spans="1:15" x14ac:dyDescent="0.25">
      <c r="A494" t="s">
        <v>664</v>
      </c>
      <c r="B494" s="2">
        <v>45974</v>
      </c>
      <c r="C494" t="s">
        <v>158</v>
      </c>
      <c r="D494" t="s">
        <v>78</v>
      </c>
      <c r="E494" t="s">
        <v>16</v>
      </c>
      <c r="F494">
        <v>51</v>
      </c>
      <c r="G494" t="s">
        <v>38</v>
      </c>
      <c r="H494" t="s">
        <v>26</v>
      </c>
      <c r="I494" t="s">
        <v>30</v>
      </c>
      <c r="J494" t="s">
        <v>71</v>
      </c>
      <c r="K494">
        <v>1</v>
      </c>
      <c r="L494">
        <v>900</v>
      </c>
      <c r="M494">
        <v>900</v>
      </c>
      <c r="N494" t="str">
        <f t="shared" si="14"/>
        <v>Nov</v>
      </c>
      <c r="O494" t="str">
        <f t="shared" si="15"/>
        <v>45+</v>
      </c>
    </row>
    <row r="495" spans="1:15" x14ac:dyDescent="0.25">
      <c r="A495" t="s">
        <v>665</v>
      </c>
      <c r="B495" s="2">
        <v>45660</v>
      </c>
      <c r="C495" t="s">
        <v>273</v>
      </c>
      <c r="D495" t="s">
        <v>29</v>
      </c>
      <c r="E495" t="s">
        <v>24</v>
      </c>
      <c r="F495">
        <v>54</v>
      </c>
      <c r="G495" t="s">
        <v>43</v>
      </c>
      <c r="H495" t="s">
        <v>44</v>
      </c>
      <c r="I495" t="s">
        <v>65</v>
      </c>
      <c r="J495" t="s">
        <v>66</v>
      </c>
      <c r="K495">
        <v>3</v>
      </c>
      <c r="L495">
        <v>500</v>
      </c>
      <c r="M495">
        <v>1500</v>
      </c>
      <c r="N495" t="str">
        <f t="shared" si="14"/>
        <v>Jan</v>
      </c>
      <c r="O495" t="str">
        <f t="shared" si="15"/>
        <v>45+</v>
      </c>
    </row>
    <row r="496" spans="1:15" x14ac:dyDescent="0.25">
      <c r="A496" t="s">
        <v>666</v>
      </c>
      <c r="B496" s="2">
        <v>45686</v>
      </c>
      <c r="C496" t="s">
        <v>178</v>
      </c>
      <c r="D496" t="s">
        <v>118</v>
      </c>
      <c r="E496" t="s">
        <v>16</v>
      </c>
      <c r="F496">
        <v>41</v>
      </c>
      <c r="G496" t="s">
        <v>34</v>
      </c>
      <c r="H496" t="s">
        <v>18</v>
      </c>
      <c r="I496" t="s">
        <v>79</v>
      </c>
      <c r="J496" t="s">
        <v>208</v>
      </c>
      <c r="K496">
        <v>5</v>
      </c>
      <c r="L496">
        <v>3000</v>
      </c>
      <c r="M496">
        <v>15000</v>
      </c>
      <c r="N496" t="str">
        <f t="shared" si="14"/>
        <v>Jan</v>
      </c>
      <c r="O496" t="str">
        <f t="shared" si="15"/>
        <v>35-44</v>
      </c>
    </row>
    <row r="497" spans="1:15" x14ac:dyDescent="0.25">
      <c r="A497" t="s">
        <v>667</v>
      </c>
      <c r="B497" s="2">
        <v>45831</v>
      </c>
      <c r="C497" t="s">
        <v>241</v>
      </c>
      <c r="D497" t="s">
        <v>97</v>
      </c>
      <c r="E497" t="s">
        <v>24</v>
      </c>
      <c r="F497">
        <v>36</v>
      </c>
      <c r="G497" t="s">
        <v>43</v>
      </c>
      <c r="H497" t="s">
        <v>44</v>
      </c>
      <c r="I497" t="s">
        <v>79</v>
      </c>
      <c r="J497" t="s">
        <v>188</v>
      </c>
      <c r="K497">
        <v>4</v>
      </c>
      <c r="L497">
        <v>1800</v>
      </c>
      <c r="M497">
        <v>7200</v>
      </c>
      <c r="N497" t="str">
        <f t="shared" si="14"/>
        <v>Jun</v>
      </c>
      <c r="O497" t="str">
        <f t="shared" si="15"/>
        <v>35-44</v>
      </c>
    </row>
    <row r="498" spans="1:15" x14ac:dyDescent="0.25">
      <c r="A498" t="s">
        <v>668</v>
      </c>
      <c r="B498" s="2">
        <v>45985</v>
      </c>
      <c r="C498" t="s">
        <v>669</v>
      </c>
      <c r="D498" t="s">
        <v>52</v>
      </c>
      <c r="E498" t="s">
        <v>24</v>
      </c>
      <c r="F498">
        <v>50</v>
      </c>
      <c r="G498" t="s">
        <v>75</v>
      </c>
      <c r="H498" t="s">
        <v>49</v>
      </c>
      <c r="I498" t="s">
        <v>39</v>
      </c>
      <c r="J498" t="s">
        <v>94</v>
      </c>
      <c r="K498">
        <v>5</v>
      </c>
      <c r="L498">
        <v>600</v>
      </c>
      <c r="M498">
        <v>3000</v>
      </c>
      <c r="N498" t="str">
        <f t="shared" si="14"/>
        <v>Nov</v>
      </c>
      <c r="O498" t="str">
        <f t="shared" si="15"/>
        <v>45+</v>
      </c>
    </row>
    <row r="499" spans="1:15" x14ac:dyDescent="0.25">
      <c r="A499" t="s">
        <v>670</v>
      </c>
      <c r="B499" s="2">
        <v>45900</v>
      </c>
      <c r="C499" t="s">
        <v>244</v>
      </c>
      <c r="D499" t="s">
        <v>52</v>
      </c>
      <c r="E499" t="s">
        <v>24</v>
      </c>
      <c r="F499">
        <v>26</v>
      </c>
      <c r="G499" t="s">
        <v>34</v>
      </c>
      <c r="H499" t="s">
        <v>18</v>
      </c>
      <c r="I499" t="s">
        <v>65</v>
      </c>
      <c r="J499" t="s">
        <v>121</v>
      </c>
      <c r="K499">
        <v>5</v>
      </c>
      <c r="L499">
        <v>900</v>
      </c>
      <c r="M499">
        <v>4500</v>
      </c>
      <c r="N499" t="str">
        <f t="shared" si="14"/>
        <v>Aug</v>
      </c>
      <c r="O499" t="str">
        <f t="shared" si="15"/>
        <v>25-34</v>
      </c>
    </row>
    <row r="500" spans="1:15" x14ac:dyDescent="0.25">
      <c r="A500" t="s">
        <v>671</v>
      </c>
      <c r="B500" s="2">
        <v>45813</v>
      </c>
      <c r="C500" t="s">
        <v>273</v>
      </c>
      <c r="D500" t="s">
        <v>62</v>
      </c>
      <c r="E500" t="s">
        <v>16</v>
      </c>
      <c r="F500">
        <v>35</v>
      </c>
      <c r="G500" t="s">
        <v>137</v>
      </c>
      <c r="H500" t="s">
        <v>137</v>
      </c>
      <c r="I500" t="s">
        <v>30</v>
      </c>
      <c r="J500" t="s">
        <v>71</v>
      </c>
      <c r="K500">
        <v>3</v>
      </c>
      <c r="L500">
        <v>900</v>
      </c>
      <c r="M500">
        <v>2700</v>
      </c>
      <c r="N500" t="str">
        <f t="shared" si="14"/>
        <v>Jun</v>
      </c>
      <c r="O500" t="str">
        <f t="shared" si="15"/>
        <v>35-44</v>
      </c>
    </row>
    <row r="501" spans="1:15" x14ac:dyDescent="0.25">
      <c r="A501" t="s">
        <v>672</v>
      </c>
      <c r="B501" s="2">
        <v>45671</v>
      </c>
      <c r="C501" t="s">
        <v>51</v>
      </c>
      <c r="D501" t="s">
        <v>113</v>
      </c>
      <c r="E501" t="s">
        <v>16</v>
      </c>
      <c r="F501">
        <v>27</v>
      </c>
      <c r="G501" t="s">
        <v>70</v>
      </c>
      <c r="H501" t="s">
        <v>18</v>
      </c>
      <c r="I501" t="s">
        <v>39</v>
      </c>
      <c r="J501" t="s">
        <v>94</v>
      </c>
      <c r="K501">
        <v>5</v>
      </c>
      <c r="L501">
        <v>600</v>
      </c>
      <c r="M501">
        <v>3000</v>
      </c>
      <c r="N501" t="str">
        <f t="shared" si="14"/>
        <v>Jan</v>
      </c>
      <c r="O501" t="str">
        <f t="shared" si="15"/>
        <v>25-34</v>
      </c>
    </row>
  </sheetData>
  <pageMargins left="0.75" right="0.75" top="1" bottom="1" header="0.5" footer="0.5"/>
  <pageSetup paperSize="9"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C1" zoomScale="75" zoomScaleNormal="75" workbookViewId="0">
      <selection activeCell="C4" sqref="C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showGridLines="0" workbookViewId="0">
      <selection activeCell="R15" sqref="R15"/>
    </sheetView>
  </sheetViews>
  <sheetFormatPr defaultRowHeight="15" x14ac:dyDescent="0.25"/>
  <cols>
    <col min="1" max="1" width="20.42578125" bestFit="1" customWidth="1"/>
  </cols>
  <sheetData>
    <row r="1" spans="1:2" x14ac:dyDescent="0.25">
      <c r="A1" s="10"/>
      <c r="B1" s="10"/>
    </row>
    <row r="2" spans="1:2" x14ac:dyDescent="0.25">
      <c r="A2" s="11"/>
      <c r="B2" s="11"/>
    </row>
    <row r="3" spans="1:2" x14ac:dyDescent="0.25">
      <c r="A3" s="11"/>
      <c r="B3" s="11"/>
    </row>
    <row r="4" spans="1:2" x14ac:dyDescent="0.25">
      <c r="A4" s="11"/>
      <c r="B4" s="11"/>
    </row>
    <row r="5" spans="1:2" x14ac:dyDescent="0.25">
      <c r="A5" s="11"/>
      <c r="B5" s="11"/>
    </row>
    <row r="6" spans="1:2" x14ac:dyDescent="0.25">
      <c r="A6" s="11"/>
      <c r="B6" s="11"/>
    </row>
    <row r="7" spans="1:2" x14ac:dyDescent="0.25">
      <c r="A7" s="11"/>
      <c r="B7" s="11"/>
    </row>
    <row r="8" spans="1:2" x14ac:dyDescent="0.25">
      <c r="A8" s="11"/>
      <c r="B8" s="1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Orders_Data</vt:lpstr>
      <vt:lpstr>E-commerce Dashboard</vt:lpstr>
      <vt:lpstr>Key Insights &amp; Recommendations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Sayali Taralekar</cp:lastModifiedBy>
  <dcterms:created xsi:type="dcterms:W3CDTF">2026-06-22T08:51:38Z</dcterms:created>
  <dcterms:modified xsi:type="dcterms:W3CDTF">2026-06-23T17:30:06Z</dcterms:modified>
</cp:coreProperties>
</file>